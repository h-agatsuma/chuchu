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ndex.local\Downloads\"/>
    </mc:Choice>
  </mc:AlternateContent>
  <xr:revisionPtr revIDLastSave="0" documentId="13_ncr:1_{061940F4-BDAA-438B-941B-CCC0525A666C}" xr6:coauthVersionLast="47" xr6:coauthVersionMax="47" xr10:uidLastSave="{00000000-0000-0000-0000-000000000000}"/>
  <bookViews>
    <workbookView xWindow="28680" yWindow="-120" windowWidth="29040" windowHeight="15720" tabRatio="921" activeTab="2" xr2:uid="{00000000-000D-0000-FFFF-FFFF00000000}"/>
    <workbookView xWindow="28680" yWindow="-120" windowWidth="29040" windowHeight="15720" activeTab="1" xr2:uid="{749ABD43-ADE3-4CBE-BC75-87C98533862E}"/>
  </bookViews>
  <sheets>
    <sheet name="デバイス一覧画面" sheetId="76" r:id="rId1"/>
    <sheet name="デバイス一覧画面sato" sheetId="74" r:id="rId2"/>
    <sheet name="デバイス詳細画面" sheetId="77" r:id="rId3"/>
    <sheet name="デバイス詳細画面 sato" sheetId="75" r:id="rId4"/>
    <sheet name="initialdata" sheetId="73" r:id="rId5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6" i="77" l="1"/>
  <c r="A7" i="77"/>
  <c r="A8" i="77"/>
  <c r="A9" i="77"/>
  <c r="A10" i="77"/>
  <c r="A11" i="77"/>
  <c r="A12" i="77"/>
  <c r="A13" i="77"/>
  <c r="A14" i="77"/>
  <c r="A15" i="77"/>
  <c r="A16" i="77"/>
  <c r="A17" i="77"/>
  <c r="A18" i="77"/>
  <c r="A19" i="77"/>
  <c r="A20" i="77"/>
  <c r="A21" i="77"/>
  <c r="A22" i="77"/>
  <c r="A6" i="76"/>
  <c r="A7" i="76"/>
  <c r="A8" i="76"/>
  <c r="A9" i="76"/>
  <c r="A10" i="76"/>
  <c r="A11" i="76"/>
  <c r="A12" i="76"/>
  <c r="A13" i="76"/>
  <c r="A14" i="76"/>
  <c r="A15" i="76"/>
  <c r="A16" i="76"/>
  <c r="A17" i="76"/>
  <c r="A18" i="76"/>
  <c r="A19" i="76"/>
  <c r="A20" i="76"/>
  <c r="A21" i="76"/>
  <c r="A22" i="76"/>
  <c r="A23" i="76"/>
  <c r="A24" i="76"/>
  <c r="A25" i="76"/>
  <c r="A26" i="76"/>
  <c r="A27" i="76"/>
  <c r="A28" i="76"/>
  <c r="A29" i="76"/>
  <c r="A30" i="76"/>
  <c r="A31" i="76"/>
  <c r="A32" i="76"/>
  <c r="A33" i="76"/>
  <c r="A34" i="76"/>
  <c r="A35" i="76"/>
  <c r="A36" i="76"/>
  <c r="A37" i="76"/>
  <c r="A38" i="76"/>
  <c r="A39" i="76"/>
  <c r="A40" i="76"/>
  <c r="A41" i="76"/>
  <c r="A42" i="76"/>
  <c r="A43" i="76"/>
  <c r="A44" i="76"/>
  <c r="A45" i="76"/>
  <c r="A46" i="76"/>
  <c r="A29" i="74"/>
  <c r="A31" i="74"/>
  <c r="A32" i="74"/>
  <c r="A33" i="74"/>
  <c r="A34" i="74"/>
  <c r="A35" i="74"/>
  <c r="A18" i="75"/>
  <c r="A13" i="75"/>
  <c r="A12" i="75"/>
  <c r="A21" i="75"/>
  <c r="A20" i="75"/>
  <c r="A19" i="75"/>
  <c r="A17" i="75"/>
  <c r="A16" i="75"/>
  <c r="A15" i="75"/>
  <c r="A14" i="75"/>
  <c r="A11" i="75"/>
  <c r="A10" i="75"/>
  <c r="A9" i="75"/>
  <c r="A8" i="75"/>
  <c r="A7" i="75"/>
  <c r="A6" i="75"/>
  <c r="A28" i="74"/>
  <c r="A27" i="74"/>
  <c r="A26" i="74"/>
  <c r="A25" i="74"/>
  <c r="A24" i="74"/>
  <c r="A23" i="74"/>
  <c r="A22" i="74"/>
  <c r="A21" i="74"/>
  <c r="A20" i="74"/>
  <c r="A19" i="74"/>
  <c r="A18" i="74"/>
  <c r="A17" i="74"/>
  <c r="A16" i="74"/>
  <c r="A15" i="74"/>
  <c r="A14" i="74"/>
  <c r="A13" i="74"/>
  <c r="A12" i="74"/>
  <c r="A11" i="74"/>
  <c r="A10" i="74"/>
  <c r="A9" i="74"/>
  <c r="A8" i="74"/>
  <c r="A7" i="74"/>
  <c r="A6" i="74"/>
</calcChain>
</file>

<file path=xl/sharedStrings.xml><?xml version="1.0" encoding="utf-8"?>
<sst xmlns="http://schemas.openxmlformats.org/spreadsheetml/2006/main" count="367" uniqueCount="186">
  <si>
    <t>No.</t>
    <phoneticPr fontId="2"/>
  </si>
  <si>
    <t>確認結果</t>
    <rPh sb="0" eb="4">
      <t>カクニンケッカ</t>
    </rPh>
    <phoneticPr fontId="1"/>
  </si>
  <si>
    <t>確認者</t>
    <rPh sb="0" eb="2">
      <t>カクニン</t>
    </rPh>
    <rPh sb="2" eb="3">
      <t>シャ</t>
    </rPh>
    <phoneticPr fontId="2"/>
  </si>
  <si>
    <t>確認日</t>
    <rPh sb="0" eb="2">
      <t>カクニン</t>
    </rPh>
    <rPh sb="2" eb="3">
      <t>ヒ</t>
    </rPh>
    <phoneticPr fontId="2"/>
  </si>
  <si>
    <t>結果</t>
    <rPh sb="0" eb="2">
      <t>ケッカ</t>
    </rPh>
    <phoneticPr fontId="2"/>
  </si>
  <si>
    <t>実施者</t>
    <rPh sb="0" eb="3">
      <t>ジッシシャ</t>
    </rPh>
    <phoneticPr fontId="2"/>
  </si>
  <si>
    <t>試験実施日</t>
    <rPh sb="0" eb="2">
      <t>シケン</t>
    </rPh>
    <rPh sb="2" eb="5">
      <t>ジッシビ</t>
    </rPh>
    <phoneticPr fontId="2"/>
  </si>
  <si>
    <t>備考</t>
    <rPh sb="0" eb="2">
      <t>ビコウ</t>
    </rPh>
    <phoneticPr fontId="2"/>
  </si>
  <si>
    <t>確認項目</t>
    <rPh sb="0" eb="2">
      <t>カクニン</t>
    </rPh>
    <rPh sb="2" eb="4">
      <t>コウモク</t>
    </rPh>
    <phoneticPr fontId="2"/>
  </si>
  <si>
    <t>試験内容</t>
    <rPh sb="0" eb="2">
      <t>シケン</t>
    </rPh>
    <rPh sb="2" eb="4">
      <t>ナイヨウ</t>
    </rPh>
    <phoneticPr fontId="2"/>
  </si>
  <si>
    <t>項目</t>
    <rPh sb="0" eb="2">
      <t>コウモク</t>
    </rPh>
    <phoneticPr fontId="1"/>
  </si>
  <si>
    <t>機能小分類</t>
    <rPh sb="0" eb="2">
      <t>キノウ</t>
    </rPh>
    <rPh sb="2" eb="3">
      <t>ショウ</t>
    </rPh>
    <rPh sb="3" eb="5">
      <t>ブンルイ</t>
    </rPh>
    <phoneticPr fontId="2"/>
  </si>
  <si>
    <t>機能中分類</t>
    <rPh sb="0" eb="2">
      <t>キノウ</t>
    </rPh>
    <rPh sb="2" eb="3">
      <t>ナカ</t>
    </rPh>
    <rPh sb="3" eb="5">
      <t>ブンルイ</t>
    </rPh>
    <phoneticPr fontId="2"/>
  </si>
  <si>
    <t>機能大分類</t>
    <rPh sb="0" eb="2">
      <t>キノウ</t>
    </rPh>
    <rPh sb="2" eb="3">
      <t>ダイ</t>
    </rPh>
    <rPh sb="3" eb="5">
      <t>ブンルイ</t>
    </rPh>
    <phoneticPr fontId="2"/>
  </si>
  <si>
    <t>初期表示</t>
    <rPh sb="0" eb="4">
      <t>ショキヒョウジ</t>
    </rPh>
    <phoneticPr fontId="1"/>
  </si>
  <si>
    <t>レイアウト・デザイン</t>
    <phoneticPr fontId="1"/>
  </si>
  <si>
    <t>全体</t>
    <rPh sb="0" eb="2">
      <t>ゼンタイ</t>
    </rPh>
    <phoneticPr fontId="1"/>
  </si>
  <si>
    <t>遷移</t>
    <rPh sb="0" eb="2">
      <t>センイ</t>
    </rPh>
    <phoneticPr fontId="1"/>
  </si>
  <si>
    <t>押下する</t>
  </si>
  <si>
    <t>前提条件</t>
    <rPh sb="0" eb="2">
      <t>ゼンテイ</t>
    </rPh>
    <rPh sb="2" eb="4">
      <t>ジョウケン</t>
    </rPh>
    <phoneticPr fontId="1"/>
  </si>
  <si>
    <t>設計書の再現</t>
    <rPh sb="0" eb="3">
      <t>セッケイショ</t>
    </rPh>
    <rPh sb="4" eb="6">
      <t>サイゲン</t>
    </rPh>
    <phoneticPr fontId="1"/>
  </si>
  <si>
    <t>設計書と比べる</t>
    <rPh sb="0" eb="3">
      <t>セッケイショ</t>
    </rPh>
    <rPh sb="4" eb="5">
      <t>クラ</t>
    </rPh>
    <phoneticPr fontId="1"/>
  </si>
  <si>
    <t>設計書と比べ、レイアウト・デザインが再現できているか</t>
    <rPh sb="0" eb="3">
      <t>セッケイショ</t>
    </rPh>
    <rPh sb="4" eb="5">
      <t>クラ</t>
    </rPh>
    <rPh sb="18" eb="20">
      <t>サイゲン</t>
    </rPh>
    <phoneticPr fontId="1"/>
  </si>
  <si>
    <t>表示されていること</t>
    <rPh sb="0" eb="2">
      <t>ヒョウジ</t>
    </rPh>
    <phoneticPr fontId="1"/>
  </si>
  <si>
    <t>登録</t>
    <rPh sb="0" eb="2">
      <t>トウロク</t>
    </rPh>
    <phoneticPr fontId="1"/>
  </si>
  <si>
    <t>デバイス一覧画面</t>
    <rPh sb="4" eb="6">
      <t>イチラン</t>
    </rPh>
    <rPh sb="6" eb="8">
      <t>ガメン</t>
    </rPh>
    <phoneticPr fontId="1"/>
  </si>
  <si>
    <t>SCANボタン</t>
    <phoneticPr fontId="1"/>
  </si>
  <si>
    <t>デバイス探索</t>
    <rPh sb="4" eb="6">
      <t>タンサク</t>
    </rPh>
    <phoneticPr fontId="1"/>
  </si>
  <si>
    <t>テーブル表示</t>
    <rPh sb="4" eb="6">
      <t>ヒョウジ</t>
    </rPh>
    <phoneticPr fontId="1"/>
  </si>
  <si>
    <t>Address/Name</t>
    <phoneticPr fontId="1"/>
  </si>
  <si>
    <t>Bait Status</t>
    <phoneticPr fontId="1"/>
  </si>
  <si>
    <t>Battery Lv</t>
    <phoneticPr fontId="1"/>
  </si>
  <si>
    <t>Last Update</t>
    <phoneticPr fontId="1"/>
  </si>
  <si>
    <t>受信アイコン</t>
    <rPh sb="0" eb="2">
      <t>ジュシン</t>
    </rPh>
    <phoneticPr fontId="1"/>
  </si>
  <si>
    <t>受信アイコンが非表示であること</t>
    <rPh sb="0" eb="2">
      <t>ジュシン</t>
    </rPh>
    <rPh sb="7" eb="10">
      <t>ヒヒョウジ</t>
    </rPh>
    <phoneticPr fontId="1"/>
  </si>
  <si>
    <t>デバイス名が登録されている場合、DBに登録されているデバイス名が表示されていること。</t>
    <rPh sb="4" eb="5">
      <t>メイ</t>
    </rPh>
    <rPh sb="6" eb="8">
      <t>トウロク</t>
    </rPh>
    <rPh sb="13" eb="15">
      <t>バアイ</t>
    </rPh>
    <rPh sb="19" eb="21">
      <t>トウロク</t>
    </rPh>
    <rPh sb="30" eb="31">
      <t>メイ</t>
    </rPh>
    <rPh sb="32" eb="34">
      <t>ヒョウジ</t>
    </rPh>
    <phoneticPr fontId="1"/>
  </si>
  <si>
    <t>DBに登録されているfeedカラムの値が0の場合、LEFTと表示されていること。</t>
    <rPh sb="3" eb="5">
      <t>トウロク</t>
    </rPh>
    <rPh sb="18" eb="19">
      <t>アタイ</t>
    </rPh>
    <rPh sb="22" eb="24">
      <t>バアイ</t>
    </rPh>
    <rPh sb="30" eb="32">
      <t>ヒョウジ</t>
    </rPh>
    <phoneticPr fontId="1"/>
  </si>
  <si>
    <t>DBに登録されているfeedカラムの値が0以外の場合、NO LEFTと表示されていること。</t>
    <rPh sb="3" eb="5">
      <t>トウロク</t>
    </rPh>
    <rPh sb="18" eb="19">
      <t>アタイ</t>
    </rPh>
    <rPh sb="21" eb="23">
      <t>イガイ</t>
    </rPh>
    <rPh sb="24" eb="26">
      <t>バアイ</t>
    </rPh>
    <rPh sb="35" eb="37">
      <t>ヒョウジ</t>
    </rPh>
    <phoneticPr fontId="1"/>
  </si>
  <si>
    <t>DBに登録されているupdateDateカラムの値が表示されていること。</t>
    <rPh sb="3" eb="5">
      <t>トウロク</t>
    </rPh>
    <rPh sb="24" eb="25">
      <t>アタイ</t>
    </rPh>
    <rPh sb="26" eb="28">
      <t>ヒョウジ</t>
    </rPh>
    <phoneticPr fontId="1"/>
  </si>
  <si>
    <t>ホーム画面のアプリアイコンを押下する</t>
    <rPh sb="3" eb="5">
      <t>ガメン</t>
    </rPh>
    <rPh sb="14" eb="16">
      <t>オウカ</t>
    </rPh>
    <phoneticPr fontId="1"/>
  </si>
  <si>
    <t>表示されていること。</t>
    <rPh sb="0" eb="2">
      <t>ヒョウジ</t>
    </rPh>
    <phoneticPr fontId="1"/>
  </si>
  <si>
    <t>STOP SCANNINGボタンに変わること。</t>
    <rPh sb="17" eb="18">
      <t>カ</t>
    </rPh>
    <phoneticPr fontId="1"/>
  </si>
  <si>
    <t>DBに登録されているbatteryカラムの値に基づくバッテリー残量が、パーセンテージで表示されていること。</t>
    <rPh sb="3" eb="5">
      <t>トウロク</t>
    </rPh>
    <rPh sb="21" eb="22">
      <t>アタイ</t>
    </rPh>
    <rPh sb="23" eb="24">
      <t>モト</t>
    </rPh>
    <rPh sb="31" eb="33">
      <t>ザンリョウ</t>
    </rPh>
    <rPh sb="43" eb="45">
      <t>ヒョウジ</t>
    </rPh>
    <phoneticPr fontId="1"/>
  </si>
  <si>
    <t>受信したデータのレコードに受信アイコンが表示されること。</t>
    <rPh sb="0" eb="2">
      <t>ジュシン</t>
    </rPh>
    <rPh sb="13" eb="15">
      <t>ジュシン</t>
    </rPh>
    <rPh sb="20" eb="22">
      <t>ヒョウジ</t>
    </rPh>
    <phoneticPr fontId="1"/>
  </si>
  <si>
    <t>データのソート</t>
    <phoneticPr fontId="1"/>
  </si>
  <si>
    <t>Address/Nameボタンを押下する</t>
    <rPh sb="16" eb="18">
      <t>オウカ</t>
    </rPh>
    <phoneticPr fontId="1"/>
  </si>
  <si>
    <t>ソートして表示</t>
    <rPh sb="5" eb="7">
      <t>ヒョウジ</t>
    </rPh>
    <phoneticPr fontId="1"/>
  </si>
  <si>
    <t>テーブルのレコード</t>
    <phoneticPr fontId="1"/>
  </si>
  <si>
    <t>特定のレコードを長押しする</t>
    <rPh sb="0" eb="2">
      <t>トクテイ</t>
    </rPh>
    <rPh sb="8" eb="10">
      <t>ナガオ</t>
    </rPh>
    <phoneticPr fontId="1"/>
  </si>
  <si>
    <t>【詳細画面】に遷移すること。</t>
    <rPh sb="1" eb="3">
      <t>ショウサイ</t>
    </rPh>
    <rPh sb="3" eb="5">
      <t>ガメン</t>
    </rPh>
    <rPh sb="7" eb="9">
      <t>センイ</t>
    </rPh>
    <phoneticPr fontId="1"/>
  </si>
  <si>
    <t>ボタン表示</t>
    <rPh sb="3" eb="5">
      <t>ヒョウジ</t>
    </rPh>
    <phoneticPr fontId="1"/>
  </si>
  <si>
    <t>【デバイス一覧画面】からデバイスを選択して遷移してくる</t>
    <rPh sb="5" eb="7">
      <t>イチラン</t>
    </rPh>
    <rPh sb="7" eb="9">
      <t>ガメン</t>
    </rPh>
    <rPh sb="17" eb="19">
      <t>センタク</t>
    </rPh>
    <rPh sb="21" eb="23">
      <t>センイ</t>
    </rPh>
    <phoneticPr fontId="1"/>
  </si>
  <si>
    <t>MAC Address</t>
    <phoneticPr fontId="1"/>
  </si>
  <si>
    <t>【デバイス一覧画面】でレコードを長押しする</t>
    <rPh sb="5" eb="9">
      <t>イチランガメン</t>
    </rPh>
    <rPh sb="16" eb="18">
      <t>ナガオ</t>
    </rPh>
    <phoneticPr fontId="1"/>
  </si>
  <si>
    <t>DBにデバイス名が登録されている場合、デバイス名が表示されていること。</t>
    <rPh sb="7" eb="8">
      <t>メイ</t>
    </rPh>
    <rPh sb="9" eb="11">
      <t>トウロク</t>
    </rPh>
    <rPh sb="16" eb="18">
      <t>バアイ</t>
    </rPh>
    <rPh sb="23" eb="24">
      <t>メイ</t>
    </rPh>
    <rPh sb="25" eb="27">
      <t>ヒョウジ</t>
    </rPh>
    <phoneticPr fontId="1"/>
  </si>
  <si>
    <t>DBにデバイス名が登録されていない場合、テキストフィールドに何も表示されていないこと。</t>
    <rPh sb="7" eb="8">
      <t>メイ</t>
    </rPh>
    <rPh sb="9" eb="11">
      <t>トウロク</t>
    </rPh>
    <rPh sb="17" eb="19">
      <t>バアイ</t>
    </rPh>
    <rPh sb="30" eb="31">
      <t>ナニ</t>
    </rPh>
    <rPh sb="32" eb="34">
      <t>ヒョウジ</t>
    </rPh>
    <phoneticPr fontId="1"/>
  </si>
  <si>
    <t>Device Nameのテキストフィールド</t>
    <phoneticPr fontId="1"/>
  </si>
  <si>
    <t>テキストの表示</t>
    <rPh sb="5" eb="7">
      <t>ヒョウジ</t>
    </rPh>
    <phoneticPr fontId="1"/>
  </si>
  <si>
    <t>ボタンの表示</t>
    <rPh sb="4" eb="6">
      <t>ヒョウジ</t>
    </rPh>
    <phoneticPr fontId="1"/>
  </si>
  <si>
    <t>Subscribeボタン</t>
    <phoneticPr fontId="1"/>
  </si>
  <si>
    <t>Unsubscribeボタン</t>
    <phoneticPr fontId="1"/>
  </si>
  <si>
    <t>エラーメッセージ「半角英数字で入力してください。」が表示されること。</t>
    <rPh sb="26" eb="28">
      <t>ヒョウジ</t>
    </rPh>
    <phoneticPr fontId="1"/>
  </si>
  <si>
    <t>エラーメッセージ「30字以下で入力してください。」が表示されること。</t>
    <rPh sb="11" eb="12">
      <t>ジ</t>
    </rPh>
    <rPh sb="12" eb="14">
      <t>イカ</t>
    </rPh>
    <rPh sb="26" eb="28">
      <t>ヒョウジ</t>
    </rPh>
    <phoneticPr fontId="1"/>
  </si>
  <si>
    <t>テキストフィールドにひらがなやカタカナ、記号を入力する。</t>
    <rPh sb="20" eb="22">
      <t>キゴウ</t>
    </rPh>
    <rPh sb="23" eb="25">
      <t>ニュウリョク</t>
    </rPh>
    <phoneticPr fontId="1"/>
  </si>
  <si>
    <t>テキストフィールドに31文字以上入力する。</t>
    <rPh sb="12" eb="14">
      <t>モジ</t>
    </rPh>
    <rPh sb="14" eb="16">
      <t>イジョウ</t>
    </rPh>
    <rPh sb="16" eb="18">
      <t>ニュウリョク</t>
    </rPh>
    <phoneticPr fontId="1"/>
  </si>
  <si>
    <t>テキストフィールドに半角英数字を30字以内で入力する。</t>
    <rPh sb="10" eb="15">
      <t>ハンカクエイスウジ</t>
    </rPh>
    <rPh sb="18" eb="19">
      <t>ジ</t>
    </rPh>
    <rPh sb="19" eb="21">
      <t>イナイ</t>
    </rPh>
    <rPh sb="22" eb="24">
      <t>ニュウリョク</t>
    </rPh>
    <phoneticPr fontId="1"/>
  </si>
  <si>
    <t>入力した文字がテキストフィールドに正常に表示されること。</t>
    <rPh sb="0" eb="2">
      <t>ニュウリョク</t>
    </rPh>
    <rPh sb="4" eb="6">
      <t>モジ</t>
    </rPh>
    <rPh sb="17" eb="19">
      <t>セイジョウ</t>
    </rPh>
    <rPh sb="20" eb="22">
      <t>ヒョウジ</t>
    </rPh>
    <phoneticPr fontId="1"/>
  </si>
  <si>
    <t>テキストフィールドの文字が変更できること。</t>
    <rPh sb="10" eb="12">
      <t>モジ</t>
    </rPh>
    <rPh sb="13" eb="15">
      <t>ヘンコウ</t>
    </rPh>
    <phoneticPr fontId="1"/>
  </si>
  <si>
    <t>更新</t>
    <rPh sb="0" eb="2">
      <t>コウシン</t>
    </rPh>
    <phoneticPr fontId="1"/>
  </si>
  <si>
    <t>デバイス名の更新</t>
    <rPh sb="4" eb="5">
      <t>メイ</t>
    </rPh>
    <rPh sb="6" eb="8">
      <t>コウシン</t>
    </rPh>
    <phoneticPr fontId="1"/>
  </si>
  <si>
    <t>デバイス名の新規登録</t>
    <rPh sb="4" eb="5">
      <t>メイ</t>
    </rPh>
    <rPh sb="6" eb="8">
      <t>シンキ</t>
    </rPh>
    <rPh sb="8" eb="10">
      <t>トウロク</t>
    </rPh>
    <phoneticPr fontId="1"/>
  </si>
  <si>
    <t>削除</t>
    <rPh sb="0" eb="2">
      <t>サクジョ</t>
    </rPh>
    <phoneticPr fontId="1"/>
  </si>
  <si>
    <t>デバイス情報の削除</t>
    <rPh sb="4" eb="6">
      <t>ジョウホウ</t>
    </rPh>
    <rPh sb="7" eb="9">
      <t>サクジョ</t>
    </rPh>
    <phoneticPr fontId="1"/>
  </si>
  <si>
    <t>前画面への遷移</t>
    <rPh sb="0" eb="1">
      <t>マエ</t>
    </rPh>
    <rPh sb="1" eb="3">
      <t>ガメン</t>
    </rPh>
    <rPh sb="5" eb="7">
      <t>センイ</t>
    </rPh>
    <phoneticPr fontId="1"/>
  </si>
  <si>
    <t>戻るボタン</t>
    <rPh sb="0" eb="1">
      <t>モド</t>
    </rPh>
    <phoneticPr fontId="1"/>
  </si>
  <si>
    <t>テキストフィールドの変更があっても、保存せず【デバイス一覧画面】に戻る。</t>
    <rPh sb="10" eb="12">
      <t>ヘンコウ</t>
    </rPh>
    <rPh sb="18" eb="20">
      <t>ホゾン</t>
    </rPh>
    <rPh sb="27" eb="31">
      <t>イチランガメン</t>
    </rPh>
    <rPh sb="33" eb="34">
      <t>モド</t>
    </rPh>
    <phoneticPr fontId="1"/>
  </si>
  <si>
    <t>次画面への遷移</t>
    <rPh sb="0" eb="1">
      <t>ジ</t>
    </rPh>
    <rPh sb="1" eb="3">
      <t>ガメン</t>
    </rPh>
    <rPh sb="5" eb="7">
      <t>センイ</t>
    </rPh>
    <phoneticPr fontId="1"/>
  </si>
  <si>
    <t>デバイス詳細画面</t>
    <rPh sb="4" eb="6">
      <t>ショウサイ</t>
    </rPh>
    <rPh sb="6" eb="8">
      <t>ガメン</t>
    </rPh>
    <phoneticPr fontId="1"/>
  </si>
  <si>
    <t xml:space="preserve">登録済みデバイス探索
</t>
    <rPh sb="0" eb="2">
      <t>トウロク</t>
    </rPh>
    <rPh sb="2" eb="3">
      <t>ズ</t>
    </rPh>
    <rPh sb="8" eb="10">
      <t>タンサク</t>
    </rPh>
    <phoneticPr fontId="1"/>
  </si>
  <si>
    <t>デバイス名が登録されている場合、デバイス名が表示されること。</t>
    <rPh sb="4" eb="5">
      <t>メイ</t>
    </rPh>
    <rPh sb="6" eb="8">
      <t>トウロク</t>
    </rPh>
    <rPh sb="13" eb="15">
      <t>バアイ</t>
    </rPh>
    <rPh sb="20" eb="21">
      <t>メイ</t>
    </rPh>
    <rPh sb="22" eb="24">
      <t>ヒョウジ</t>
    </rPh>
    <phoneticPr fontId="1"/>
  </si>
  <si>
    <t>未登録デバイス探索</t>
    <rPh sb="0" eb="3">
      <t>ミトウロク</t>
    </rPh>
    <rPh sb="7" eb="9">
      <t>タンサク</t>
    </rPh>
    <phoneticPr fontId="1"/>
  </si>
  <si>
    <t>①SCANボタンを押下する
②登録されていないデバイスのアドバタイズを受ける</t>
    <phoneticPr fontId="1"/>
  </si>
  <si>
    <t>①SCANボタンを押下する
②登録されているデバイスのアドバタイズを受ける</t>
    <rPh sb="15" eb="17">
      <t>トウロク</t>
    </rPh>
    <rPh sb="34" eb="35">
      <t>ウ</t>
    </rPh>
    <phoneticPr fontId="1"/>
  </si>
  <si>
    <t>デバイス探索停止</t>
    <rPh sb="4" eb="6">
      <t>タンサク</t>
    </rPh>
    <rPh sb="6" eb="8">
      <t>テイシ</t>
    </rPh>
    <phoneticPr fontId="1"/>
  </si>
  <si>
    <t>SCANボタンに変わること。</t>
    <rPh sb="8" eb="9">
      <t>カ</t>
    </rPh>
    <phoneticPr fontId="1"/>
  </si>
  <si>
    <t>DBのfeedカラムの値が00の場合、LEFTと表示されること。</t>
    <rPh sb="11" eb="12">
      <t>アタイ</t>
    </rPh>
    <rPh sb="16" eb="18">
      <t>バアイ</t>
    </rPh>
    <rPh sb="24" eb="26">
      <t>ヒョウジ</t>
    </rPh>
    <phoneticPr fontId="1"/>
  </si>
  <si>
    <t>DBのfeedカラムの値が00以外の場合、NO LEFTと表示されること。</t>
    <rPh sb="11" eb="12">
      <t>アタイ</t>
    </rPh>
    <rPh sb="15" eb="17">
      <t>イガイ</t>
    </rPh>
    <phoneticPr fontId="1"/>
  </si>
  <si>
    <t>(batteryカラムの値-800)/4 で算出されたバッテリー残量が、パーセンテージで表示されること。</t>
    <rPh sb="12" eb="13">
      <t>アタイ</t>
    </rPh>
    <rPh sb="22" eb="24">
      <t>サンシュツ</t>
    </rPh>
    <rPh sb="32" eb="34">
      <t>ザンリョウ</t>
    </rPh>
    <rPh sb="44" eb="46">
      <t>ヒョウジ</t>
    </rPh>
    <phoneticPr fontId="1"/>
  </si>
  <si>
    <t>DBのaddressカラムにMACアドレスがインサートされていること。</t>
    <phoneticPr fontId="1"/>
  </si>
  <si>
    <t>DBのfeedカラムに、受信したManufacturerDataの先頭1バイトの値がインサートされていること。</t>
    <rPh sb="12" eb="14">
      <t>ジュシン</t>
    </rPh>
    <rPh sb="33" eb="35">
      <t>セントウ</t>
    </rPh>
    <rPh sb="40" eb="41">
      <t>アタイ</t>
    </rPh>
    <phoneticPr fontId="1"/>
  </si>
  <si>
    <t>DBのbatteryカラムに、受信したManufacturerDataの2、3バイト目（10進数）の値がインサートされていること。</t>
    <rPh sb="15" eb="17">
      <t>ジュシン</t>
    </rPh>
    <rPh sb="42" eb="43">
      <t>メ</t>
    </rPh>
    <rPh sb="46" eb="48">
      <t>シンスウ</t>
    </rPh>
    <rPh sb="50" eb="51">
      <t>アタイ</t>
    </rPh>
    <phoneticPr fontId="1"/>
  </si>
  <si>
    <t>受信アイコンが非表示になること</t>
    <rPh sb="0" eb="2">
      <t>ジュシン</t>
    </rPh>
    <rPh sb="7" eb="10">
      <t>ヒヒョウジ</t>
    </rPh>
    <phoneticPr fontId="1"/>
  </si>
  <si>
    <t>テーブル</t>
    <phoneticPr fontId="1"/>
  </si>
  <si>
    <t>[DB]receptionInfo</t>
    <phoneticPr fontId="1"/>
  </si>
  <si>
    <t>[DB]receptionInfo
feed</t>
    <phoneticPr fontId="1"/>
  </si>
  <si>
    <t>登録済みデバイス探索停止</t>
    <rPh sb="0" eb="3">
      <t>トウロクズ</t>
    </rPh>
    <rPh sb="8" eb="10">
      <t>タンサク</t>
    </rPh>
    <rPh sb="10" eb="12">
      <t>テイシ</t>
    </rPh>
    <phoneticPr fontId="1"/>
  </si>
  <si>
    <t>①STOP SCANNINGボタンを押下する
②登録されているデバイスのアドバタイズの受け取りを中止する</t>
    <rPh sb="24" eb="26">
      <t>トウロク</t>
    </rPh>
    <rPh sb="43" eb="44">
      <t>ウ</t>
    </rPh>
    <rPh sb="45" eb="46">
      <t>ト</t>
    </rPh>
    <rPh sb="48" eb="50">
      <t>チュウシ</t>
    </rPh>
    <phoneticPr fontId="1"/>
  </si>
  <si>
    <t>テーブルに表示されている登録済みデバイスのデータが変化しないこと。</t>
    <rPh sb="5" eb="7">
      <t>ヒョウジ</t>
    </rPh>
    <rPh sb="12" eb="15">
      <t>トウロクズ</t>
    </rPh>
    <rPh sb="25" eb="27">
      <t>ヘンカ</t>
    </rPh>
    <phoneticPr fontId="1"/>
  </si>
  <si>
    <t>未登録デバイスの追加表示が停止すること。</t>
    <rPh sb="0" eb="3">
      <t>ミトウロク</t>
    </rPh>
    <rPh sb="8" eb="10">
      <t>ツイカ</t>
    </rPh>
    <rPh sb="10" eb="12">
      <t>ヒョウジ</t>
    </rPh>
    <rPh sb="13" eb="15">
      <t>テイシ</t>
    </rPh>
    <phoneticPr fontId="1"/>
  </si>
  <si>
    <t>①STOP SCANNINGボタンを押下する
②登録されていないデバイスのアドバタイズの受け取りを中止する</t>
    <rPh sb="24" eb="26">
      <t>トウロク</t>
    </rPh>
    <rPh sb="44" eb="45">
      <t>ウ</t>
    </rPh>
    <rPh sb="46" eb="47">
      <t>ト</t>
    </rPh>
    <rPh sb="49" eb="51">
      <t>チュウシ</t>
    </rPh>
    <phoneticPr fontId="1"/>
  </si>
  <si>
    <t>未登録デバイスのデータが新しくインサートされないこと。</t>
    <rPh sb="0" eb="3">
      <t>ミトウロク</t>
    </rPh>
    <rPh sb="12" eb="13">
      <t>アタラ</t>
    </rPh>
    <phoneticPr fontId="1"/>
  </si>
  <si>
    <t>最後にデータを受信した日時がインサートされていること。</t>
    <rPh sb="0" eb="2">
      <t>サイゴ</t>
    </rPh>
    <rPh sb="7" eb="9">
      <t>ジュシン</t>
    </rPh>
    <rPh sb="11" eb="13">
      <t>ニチジ</t>
    </rPh>
    <phoneticPr fontId="1"/>
  </si>
  <si>
    <t>[DB]receptionInfo
updateDate</t>
    <phoneticPr fontId="1"/>
  </si>
  <si>
    <t>[DB]receptionInfo
battery</t>
    <phoneticPr fontId="1"/>
  </si>
  <si>
    <t>[DB]receptionInfo・deviceInfo
address</t>
    <phoneticPr fontId="1"/>
  </si>
  <si>
    <t>デバイス名が登録済みのデータが上位に表示され、デバイス名のアルファベット順、MACアドレスのアルファベット順に並んでいること。</t>
    <rPh sb="4" eb="5">
      <t>メイ</t>
    </rPh>
    <rPh sb="6" eb="9">
      <t>トウロクズ</t>
    </rPh>
    <rPh sb="15" eb="17">
      <t>ジョウイ</t>
    </rPh>
    <rPh sb="18" eb="20">
      <t>ヒョウジ</t>
    </rPh>
    <rPh sb="27" eb="28">
      <t>メイ</t>
    </rPh>
    <rPh sb="36" eb="37">
      <t>ジュン</t>
    </rPh>
    <rPh sb="53" eb="54">
      <t>ジュン</t>
    </rPh>
    <rPh sb="55" eb="56">
      <t>ナラ</t>
    </rPh>
    <phoneticPr fontId="1"/>
  </si>
  <si>
    <t>未登録デバイス探索停止</t>
    <rPh sb="0" eb="3">
      <t>ミトウロク</t>
    </rPh>
    <rPh sb="7" eb="9">
      <t>タンサク</t>
    </rPh>
    <rPh sb="9" eb="11">
      <t>テイシ</t>
    </rPh>
    <phoneticPr fontId="1"/>
  </si>
  <si>
    <t>[DB]deviceInfo
name</t>
    <phoneticPr fontId="1"/>
  </si>
  <si>
    <t>テキストフィールドのデバイス名がnameカラムに反映されること。</t>
    <rPh sb="14" eb="15">
      <t>メイ</t>
    </rPh>
    <rPh sb="24" eb="26">
      <t>ハンエイ</t>
    </rPh>
    <phoneticPr fontId="1"/>
  </si>
  <si>
    <t>【デバイス一覧画面】
Address/name</t>
    <rPh sb="5" eb="9">
      <t>イチランガメン</t>
    </rPh>
    <phoneticPr fontId="1"/>
  </si>
  <si>
    <t>【デバイス一覧画面】に遷移し、MACアドレスの表示から、登録したデバイス名の表示に変わること。</t>
    <rPh sb="5" eb="9">
      <t>イチランガメン</t>
    </rPh>
    <rPh sb="11" eb="13">
      <t>センイ</t>
    </rPh>
    <rPh sb="23" eb="25">
      <t>ヒョウジ</t>
    </rPh>
    <rPh sb="28" eb="30">
      <t>トウロク</t>
    </rPh>
    <rPh sb="36" eb="37">
      <t>メイ</t>
    </rPh>
    <rPh sb="38" eb="40">
      <t>ヒョウジ</t>
    </rPh>
    <rPh sb="41" eb="42">
      <t>カ</t>
    </rPh>
    <phoneticPr fontId="1"/>
  </si>
  <si>
    <t>テキストフィールドにデバイス名を入力し、Subscribeボタンを押下する。</t>
    <rPh sb="14" eb="15">
      <t>メイ</t>
    </rPh>
    <rPh sb="16" eb="18">
      <t>ニュウリョク</t>
    </rPh>
    <phoneticPr fontId="1"/>
  </si>
  <si>
    <t>表示されていたテキストフィールドのデバイス名を変更し、Subscribeボタンを押下する。</t>
    <rPh sb="0" eb="2">
      <t>ヒョウジ</t>
    </rPh>
    <rPh sb="21" eb="22">
      <t>メイ</t>
    </rPh>
    <rPh sb="23" eb="25">
      <t>ヘンコウ</t>
    </rPh>
    <phoneticPr fontId="1"/>
  </si>
  <si>
    <t>表示されていたテキストフィールドのデバイス名を変更する。</t>
    <rPh sb="0" eb="2">
      <t>ヒョウジ</t>
    </rPh>
    <rPh sb="21" eb="22">
      <t>メイ</t>
    </rPh>
    <rPh sb="23" eb="25">
      <t>ヘンコウ</t>
    </rPh>
    <phoneticPr fontId="1"/>
  </si>
  <si>
    <t>変更後のデバイス名がnameカラムに反映されること。</t>
    <rPh sb="0" eb="3">
      <t>ヘンコウゴ</t>
    </rPh>
    <rPh sb="8" eb="9">
      <t>メイ</t>
    </rPh>
    <rPh sb="18" eb="20">
      <t>ハンエイ</t>
    </rPh>
    <phoneticPr fontId="1"/>
  </si>
  <si>
    <t>【デバイス一覧画面】に遷移し、元のデバイス名の表示から、登録したデバイス名の表示に変わること。</t>
    <rPh sb="5" eb="9">
      <t>イチランガメン</t>
    </rPh>
    <rPh sb="11" eb="13">
      <t>センイ</t>
    </rPh>
    <rPh sb="15" eb="16">
      <t>モト</t>
    </rPh>
    <rPh sb="21" eb="22">
      <t>メイ</t>
    </rPh>
    <rPh sb="23" eb="25">
      <t>ヒョウジ</t>
    </rPh>
    <rPh sb="28" eb="30">
      <t>トウロク</t>
    </rPh>
    <rPh sb="36" eb="37">
      <t>メイ</t>
    </rPh>
    <rPh sb="38" eb="40">
      <t>ヒョウジ</t>
    </rPh>
    <rPh sb="41" eb="42">
      <t>カ</t>
    </rPh>
    <phoneticPr fontId="1"/>
  </si>
  <si>
    <t>登録済みデバイスのデータが新しくインサートされないこと。</t>
    <rPh sb="0" eb="3">
      <t>トウロクズ</t>
    </rPh>
    <rPh sb="13" eb="14">
      <t>アタラ</t>
    </rPh>
    <phoneticPr fontId="1"/>
  </si>
  <si>
    <t>Mac Addressが新しく表示されること。</t>
    <rPh sb="12" eb="13">
      <t>アタラ</t>
    </rPh>
    <phoneticPr fontId="1"/>
  </si>
  <si>
    <t>(batteryカラムの値-800)/4 で算出されたバッテリー残量が、パーセンテージで新しく表示されること。</t>
    <rPh sb="12" eb="13">
      <t>アタイ</t>
    </rPh>
    <rPh sb="22" eb="24">
      <t>サンシュツ</t>
    </rPh>
    <rPh sb="32" eb="34">
      <t>ザンリョウ</t>
    </rPh>
    <rPh sb="44" eb="45">
      <t>アタラ</t>
    </rPh>
    <rPh sb="47" eb="49">
      <t>ヒョウジ</t>
    </rPh>
    <phoneticPr fontId="1"/>
  </si>
  <si>
    <t>データを受信した日時が新しく表示されること。</t>
    <rPh sb="4" eb="6">
      <t>ジュシン</t>
    </rPh>
    <rPh sb="8" eb="10">
      <t>ニチジ</t>
    </rPh>
    <rPh sb="11" eb="12">
      <t>アタラ</t>
    </rPh>
    <rPh sb="14" eb="16">
      <t>ヒョウジ</t>
    </rPh>
    <phoneticPr fontId="1"/>
  </si>
  <si>
    <t>DBのfeedカラムの値が00の場合、LEFTと新しく表示されること。</t>
    <rPh sb="11" eb="12">
      <t>アタイ</t>
    </rPh>
    <rPh sb="16" eb="18">
      <t>バアイ</t>
    </rPh>
    <rPh sb="24" eb="25">
      <t>アタラ</t>
    </rPh>
    <rPh sb="27" eb="29">
      <t>ヒョウジ</t>
    </rPh>
    <phoneticPr fontId="1"/>
  </si>
  <si>
    <t>DBのfeedカラムの値が00以外の場合、NO LEFTと新しく表示されること。</t>
    <rPh sb="11" eb="12">
      <t>アタイ</t>
    </rPh>
    <rPh sb="15" eb="17">
      <t>イガイ</t>
    </rPh>
    <rPh sb="29" eb="30">
      <t>アタラ</t>
    </rPh>
    <phoneticPr fontId="1"/>
  </si>
  <si>
    <t>データを受信した日時に表示が変わること。</t>
    <rPh sb="4" eb="6">
      <t>ジュシン</t>
    </rPh>
    <rPh sb="8" eb="10">
      <t>ニチジ</t>
    </rPh>
    <rPh sb="14" eb="15">
      <t>カ</t>
    </rPh>
    <phoneticPr fontId="1"/>
  </si>
  <si>
    <t>[DB]deviceInfoのdeleteFlagが1になること。</t>
    <phoneticPr fontId="1"/>
  </si>
  <si>
    <t>Unsubscribeボタンを押下する</t>
    <rPh sb="15" eb="17">
      <t>オウカ</t>
    </rPh>
    <phoneticPr fontId="1"/>
  </si>
  <si>
    <t>【デバイス一覧画面】に遷移し、テーブルからデバイスの情報が消えていること。</t>
    <rPh sb="5" eb="9">
      <t>イチランガメン</t>
    </rPh>
    <rPh sb="11" eb="13">
      <t>センイ</t>
    </rPh>
    <rPh sb="26" eb="28">
      <t>ジョウホウ</t>
    </rPh>
    <rPh sb="29" eb="30">
      <t>キ</t>
    </rPh>
    <phoneticPr fontId="1"/>
  </si>
  <si>
    <t>【デバイス一覧画面】
テーブル</t>
    <rPh sb="5" eb="9">
      <t>イチランガメン</t>
    </rPh>
    <phoneticPr fontId="1"/>
  </si>
  <si>
    <t>デバイス名が未登録の場合、Macアドレスが表示されること。</t>
    <rPh sb="4" eb="5">
      <t>メイ</t>
    </rPh>
    <rPh sb="6" eb="9">
      <t>ミトウロク</t>
    </rPh>
    <rPh sb="10" eb="12">
      <t>バアイ</t>
    </rPh>
    <phoneticPr fontId="1"/>
  </si>
  <si>
    <t>デバイス名が未登録の場合、DBに登録されているMACアドレスが表示されていること。</t>
    <rPh sb="4" eb="5">
      <t>メイ</t>
    </rPh>
    <rPh sb="6" eb="9">
      <t>ミトウロク</t>
    </rPh>
    <rPh sb="10" eb="12">
      <t>バアイ</t>
    </rPh>
    <rPh sb="16" eb="18">
      <t>トウロク</t>
    </rPh>
    <rPh sb="31" eb="33">
      <t>ヒョウジ</t>
    </rPh>
    <phoneticPr fontId="1"/>
  </si>
  <si>
    <t>選択したデバイスのMACアドレスが表示されていること</t>
    <rPh sb="0" eb="2">
      <t>センタク</t>
    </rPh>
    <rPh sb="17" eb="19">
      <t>ヒョウジ</t>
    </rPh>
    <phoneticPr fontId="1"/>
  </si>
  <si>
    <t>シートinitialdataをinitial_data.dartに追記する。</t>
    <rPh sb="33" eb="35">
      <t>ツイキ</t>
    </rPh>
    <phoneticPr fontId="1"/>
  </si>
  <si>
    <t>];</t>
  </si>
  <si>
    <t>final List&lt;Map&lt;String, dynamic&gt;&gt; initialDeviceData = [</t>
  </si>
  <si>
    <t>final List&lt;Map&lt;String, dynamic&gt;&gt; initialReceptionData = [</t>
  </si>
  <si>
    <t>テーブル　1行目</t>
    <rPh sb="6" eb="8">
      <t>ギョウメ</t>
    </rPh>
    <phoneticPr fontId="1"/>
  </si>
  <si>
    <t>テーブル　2行目</t>
    <rPh sb="6" eb="8">
      <t>ギョウメ</t>
    </rPh>
    <phoneticPr fontId="1"/>
  </si>
  <si>
    <t>受信アイコンが表示されていないこと</t>
    <rPh sb="0" eb="2">
      <t>ジュシン</t>
    </rPh>
    <rPh sb="7" eb="9">
      <t>ヒョウジ</t>
    </rPh>
    <phoneticPr fontId="1"/>
  </si>
  <si>
    <t xml:space="preserve">  {'address': '65:B3:DE:F2:B4:CA:CE:36', 'name': ''},</t>
    <phoneticPr fontId="1"/>
  </si>
  <si>
    <t xml:space="preserve">  {'address': 'F2:DA:8F:A7:C0:52:DB:33', 'name': 'chuchu01'},</t>
    <phoneticPr fontId="1"/>
  </si>
  <si>
    <t>「chuchu01」と表示されていること</t>
    <rPh sb="11" eb="13">
      <t>ヒョウジ</t>
    </rPh>
    <phoneticPr fontId="1"/>
  </si>
  <si>
    <t>「LEFT」と表示されていること。</t>
    <rPh sb="7" eb="9">
      <t>ヒョウジ</t>
    </rPh>
    <phoneticPr fontId="1"/>
  </si>
  <si>
    <t>「100％」と表示されていること。</t>
    <rPh sb="7" eb="9">
      <t>ヒョウジ</t>
    </rPh>
    <phoneticPr fontId="1"/>
  </si>
  <si>
    <t>「65:B3:DE:F2:B4:CA:CE:36」と表示されていること</t>
    <rPh sb="26" eb="28">
      <t>ヒョウジ</t>
    </rPh>
    <phoneticPr fontId="1"/>
  </si>
  <si>
    <t>「NO LEFT」と表示されていること</t>
    <rPh sb="10" eb="12">
      <t>ヒョウジ</t>
    </rPh>
    <phoneticPr fontId="1"/>
  </si>
  <si>
    <t>「1％」と表示されていること。</t>
    <rPh sb="5" eb="7">
      <t>ヒョウジ</t>
    </rPh>
    <phoneticPr fontId="1"/>
  </si>
  <si>
    <t>「SCAM」と表示されていること。</t>
    <rPh sb="7" eb="9">
      <t>ヒョウジ</t>
    </rPh>
    <phoneticPr fontId="1"/>
  </si>
  <si>
    <t>「STOP SCANNING」に変わること。</t>
    <rPh sb="16" eb="17">
      <t>カ</t>
    </rPh>
    <phoneticPr fontId="1"/>
  </si>
  <si>
    <t>STOP SCANNINGボタンを押下する</t>
    <phoneticPr fontId="1"/>
  </si>
  <si>
    <t>ホーム画面のアプリアイコンを押下する</t>
    <phoneticPr fontId="1"/>
  </si>
  <si>
    <t>デバイス名が「chuchu01」のレコードに受信アイコンが表示されること。</t>
    <rPh sb="4" eb="5">
      <t>メイ</t>
    </rPh>
    <rPh sb="22" eb="24">
      <t>ジュシン</t>
    </rPh>
    <rPh sb="29" eb="31">
      <t>ヒョウジ</t>
    </rPh>
    <phoneticPr fontId="1"/>
  </si>
  <si>
    <t>「100％」と表示されること。</t>
    <rPh sb="7" eb="9">
      <t>ヒョウジ</t>
    </rPh>
    <phoneticPr fontId="1"/>
  </si>
  <si>
    <t>「05:24:7D:8A:65:C7:70:6F」と表示されていること。</t>
    <rPh sb="26" eb="28">
      <t>ヒョウジ</t>
    </rPh>
    <phoneticPr fontId="1"/>
  </si>
  <si>
    <t>「50％」と表示されること。</t>
    <rPh sb="6" eb="8">
      <t>ヒョウジ</t>
    </rPh>
    <phoneticPr fontId="1"/>
  </si>
  <si>
    <t>餌センサー起動</t>
    <rPh sb="0" eb="1">
      <t>エサ</t>
    </rPh>
    <rPh sb="5" eb="7">
      <t>キドウ</t>
    </rPh>
    <phoneticPr fontId="1"/>
  </si>
  <si>
    <t>デバイスの餌を外す
　例　05:24:7D:8A:65:C7:70:6Fの
　　　エサをはずす</t>
    <rPh sb="5" eb="6">
      <t>エサ</t>
    </rPh>
    <rPh sb="7" eb="8">
      <t>ハズ</t>
    </rPh>
    <rPh sb="11" eb="12">
      <t>レイ</t>
    </rPh>
    <phoneticPr fontId="1"/>
  </si>
  <si>
    <t>「05:24:7D:8A:65:C7:70:6F」レコードに「LEFT」と表示されること。</t>
    <rPh sb="37" eb="39">
      <t>ヒョウジ</t>
    </rPh>
    <phoneticPr fontId="1"/>
  </si>
  <si>
    <t>「SCAN」に変わること。</t>
    <rPh sb="7" eb="8">
      <t>カ</t>
    </rPh>
    <phoneticPr fontId="1"/>
  </si>
  <si>
    <t>全レコードの受信アイコンが非表示になること</t>
    <rPh sb="0" eb="1">
      <t>ゼン</t>
    </rPh>
    <rPh sb="6" eb="8">
      <t>ジュシン</t>
    </rPh>
    <rPh sb="13" eb="16">
      <t>ヒヒョウジ</t>
    </rPh>
    <phoneticPr fontId="1"/>
  </si>
  <si>
    <t>以下の順でレコードが並んでいること
Chuchu01
05:24:7D:8A:65:C7:70:6F
65:B3:DE:F2:B4:CA:CE:36
※デバイス名が登録済みのデータが上位に表示され、デバイス名のアルファベット順、MACアドレスのアルファベット順に並んでいること。</t>
    <rPh sb="0" eb="2">
      <t>イカ</t>
    </rPh>
    <rPh sb="3" eb="4">
      <t>ジュン</t>
    </rPh>
    <rPh sb="10" eb="11">
      <t>ナラ</t>
    </rPh>
    <phoneticPr fontId="1"/>
  </si>
  <si>
    <t>「65:B3:DE:F2:B4:CA:CE:36」のレコードを
長押しする</t>
    <rPh sb="32" eb="34">
      <t>ナガオ</t>
    </rPh>
    <phoneticPr fontId="1"/>
  </si>
  <si>
    <t>テキストフィールドに「あああああ」と入力する。</t>
    <rPh sb="18" eb="20">
      <t>ニュウリョク</t>
    </rPh>
    <phoneticPr fontId="1"/>
  </si>
  <si>
    <t>テキストフィールドに「アアアアアア」と入力する。</t>
    <rPh sb="19" eb="21">
      <t>ニュウリョク</t>
    </rPh>
    <phoneticPr fontId="1"/>
  </si>
  <si>
    <t>テキストフィールドに「+++++」と入力する。</t>
    <rPh sb="18" eb="20">
      <t>ニュウリョク</t>
    </rPh>
    <phoneticPr fontId="1"/>
  </si>
  <si>
    <t>テキストフィールドに「1234567890123456789012345678901」と
入力する。</t>
    <rPh sb="45" eb="47">
      <t>ニュウリョク</t>
    </rPh>
    <phoneticPr fontId="1"/>
  </si>
  <si>
    <t>テキストフィールドに「chuchu2」と入力する。</t>
    <rPh sb="20" eb="22">
      <t>ニュウリョク</t>
    </rPh>
    <phoneticPr fontId="1"/>
  </si>
  <si>
    <t>テキストフィールドに「chuchu2」と表示されること。</t>
    <rPh sb="20" eb="22">
      <t>ヒョウジ</t>
    </rPh>
    <phoneticPr fontId="1"/>
  </si>
  <si>
    <t>バリデーション</t>
    <phoneticPr fontId="1"/>
  </si>
  <si>
    <t>【デバイス一覧画面】から「65:B3:DE:F2:B4:CA:CE:36」を選択して遷移してくる</t>
    <rPh sb="5" eb="7">
      <t>イチラン</t>
    </rPh>
    <rPh sb="7" eb="9">
      <t>ガメン</t>
    </rPh>
    <rPh sb="38" eb="40">
      <t>センタク</t>
    </rPh>
    <rPh sb="42" eb="44">
      <t>センイ</t>
    </rPh>
    <phoneticPr fontId="1"/>
  </si>
  <si>
    <t>【デバイス一覧画面】で「65:B3:DE:F2:B4:CA:CE:36」レコードを
長押しする</t>
    <rPh sb="5" eb="9">
      <t>イチランガメン</t>
    </rPh>
    <rPh sb="42" eb="44">
      <t>ナガオ</t>
    </rPh>
    <phoneticPr fontId="1"/>
  </si>
  <si>
    <t>テキストフィールドに「chuchu02」と表示されること。</t>
    <rPh sb="21" eb="23">
      <t>ヒョウジ</t>
    </rPh>
    <phoneticPr fontId="1"/>
  </si>
  <si>
    <t>Subscribeボタンを押下する。</t>
    <phoneticPr fontId="1"/>
  </si>
  <si>
    <t>①【デバイス一覧画面】で「chuchu2」レコードを長押しする
②テキストフィールドに「chuchu02」と入力する。</t>
    <rPh sb="54" eb="56">
      <t>ニュウリョク</t>
    </rPh>
    <phoneticPr fontId="1"/>
  </si>
  <si>
    <t>【デバイス一覧画面】に遷移し、「chuchu2」から「chuchu02」と表示されること。</t>
    <rPh sb="5" eb="9">
      <t>イチランガメン</t>
    </rPh>
    <rPh sb="11" eb="13">
      <t>センイ</t>
    </rPh>
    <rPh sb="37" eb="39">
      <t>ヒョウジ</t>
    </rPh>
    <phoneticPr fontId="1"/>
  </si>
  <si>
    <t>【デバイス一覧画面】に遷移し、テーブルにデバイスが表示されないこと。</t>
    <rPh sb="5" eb="9">
      <t>イチランガメン</t>
    </rPh>
    <rPh sb="11" eb="13">
      <t>センイ</t>
    </rPh>
    <rPh sb="25" eb="27">
      <t>ヒョウジ</t>
    </rPh>
    <phoneticPr fontId="1"/>
  </si>
  <si>
    <t>①【デバイス一覧画面】で「chuchu02」レコードを長押しする
②Unsubscribeボタンを押下する</t>
    <rPh sb="49" eb="51">
      <t>オウカ</t>
    </rPh>
    <phoneticPr fontId="1"/>
  </si>
  <si>
    <t>押下する</t>
    <phoneticPr fontId="1"/>
  </si>
  <si>
    <t>【デバイス一覧画面】に戻る。</t>
    <rPh sb="5" eb="9">
      <t>イチランガメン</t>
    </rPh>
    <rPh sb="11" eb="12">
      <t>モド</t>
    </rPh>
    <phoneticPr fontId="1"/>
  </si>
  <si>
    <t xml:space="preserve">  {'address': 'F2:DA:8F:A7:C0:52:DB:33', 'feed': '00', 'battery': '1200', 'updateDate': DateFormat('yyyy/MM/dd HH:mm:ss').format(DateTime(2025, 10, 3, 12, 0, 0)),　},
 </t>
    <phoneticPr fontId="1"/>
  </si>
  <si>
    <t>「2025/10/3 12:00:00」と表示されていること。</t>
    <rPh sb="21" eb="23">
      <t>ヒョウジ</t>
    </rPh>
    <phoneticPr fontId="1"/>
  </si>
  <si>
    <t xml:space="preserve">  {'address': '65:B3:DE:F2:B4:CA:CE:36', 'feed': '01', 'battery':  '804', 'updateDate': DateFormat('yyyy/MM/dd HH:mm:ss').format(DateTime(2025, 10, 3, 18, 0, 0)),
  },</t>
    <phoneticPr fontId="1"/>
  </si>
  <si>
    <t>「2025/10/3 18:00:00」と表示されていること。</t>
    <rPh sb="21" eb="23">
      <t>ヒョウジ</t>
    </rPh>
    <phoneticPr fontId="1"/>
  </si>
  <si>
    <t>①MACアドレスが登録済みのデバイスを起動する
　例　F2:DA:8F:A7:C0:52:DB:33
　　　エサあり
　　　充電は100％
②SCANボタンを押下する</t>
    <rPh sb="9" eb="12">
      <t>トウロクズ</t>
    </rPh>
    <rPh sb="19" eb="21">
      <t>キドウ</t>
    </rPh>
    <rPh sb="25" eb="26">
      <t>レイ</t>
    </rPh>
    <rPh sb="62" eb="64">
      <t>ジュウデン</t>
    </rPh>
    <phoneticPr fontId="1"/>
  </si>
  <si>
    <t>MACアドレスが未登録のデバイスを起動する
　例　05:24:7D:8A:65:C7:70:6F
　　　エサあり
　　　充電は50％</t>
    <rPh sb="8" eb="9">
      <t>ミ</t>
    </rPh>
    <rPh sb="9" eb="11">
      <t>トウロク</t>
    </rPh>
    <rPh sb="17" eb="19">
      <t>キドウ</t>
    </rPh>
    <rPh sb="23" eb="24">
      <t>レイ</t>
    </rPh>
    <rPh sb="60" eb="62">
      <t>ジュウデン</t>
    </rPh>
    <phoneticPr fontId="1"/>
  </si>
  <si>
    <t>デバイスの餌を置く
　例　05:24:7D:8A:65:C7:70:6Fの
　　　エサを置く</t>
    <rPh sb="5" eb="6">
      <t>エサ</t>
    </rPh>
    <rPh sb="7" eb="8">
      <t>オ</t>
    </rPh>
    <rPh sb="11" eb="12">
      <t>レイ</t>
    </rPh>
    <rPh sb="44" eb="45">
      <t>オ</t>
    </rPh>
    <phoneticPr fontId="1"/>
  </si>
  <si>
    <t>「05:24:7D:8A:65:C7:70:6F」レコードに「NO LEFT」と表示されること。</t>
    <rPh sb="40" eb="42">
      <t>ヒョウジ</t>
    </rPh>
    <phoneticPr fontId="1"/>
  </si>
  <si>
    <t>「LEFT」と表示されること。</t>
    <rPh sb="7" eb="9">
      <t>ヒョウジ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</si>
</sst>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;@"/>
  </numFmts>
  <fonts count="10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10"/>
      <color theme="10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hadow/>
      <sz val="11"/>
      <name val="ＭＳ ゴシック"/>
      <family val="3"/>
      <charset val="128"/>
    </font>
    <font>
      <shadow/>
      <sz val="11"/>
      <color indexed="8"/>
      <name val="ＭＳ ゴシック"/>
      <family val="3"/>
      <charset val="128"/>
    </font>
    <font>
      <sz val="9.8000000000000007"/>
      <name val="JetBrains Mono"/>
      <family val="3"/>
    </font>
  </fonts>
  <fills count="6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3" fillId="0" borderId="0"/>
    <xf numFmtId="0" fontId="4" fillId="0" borderId="0" applyNumberFormat="0" applyFill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5" fillId="0" borderId="0" xfId="0" applyFont="1" applyAlignment="1">
      <alignment vertical="top" wrapText="1"/>
    </xf>
    <xf numFmtId="0" fontId="5" fillId="0" borderId="0" xfId="0" applyFont="1" applyAlignment="1"/>
    <xf numFmtId="0" fontId="5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center" vertical="center" wrapText="1"/>
    </xf>
    <xf numFmtId="56" fontId="5" fillId="0" borderId="2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top" wrapText="1"/>
    </xf>
    <xf numFmtId="0" fontId="5" fillId="3" borderId="2" xfId="0" applyFont="1" applyFill="1" applyBorder="1" applyAlignment="1">
      <alignment horizontal="center" vertical="center"/>
    </xf>
    <xf numFmtId="176" fontId="5" fillId="3" borderId="2" xfId="0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vertical="top" wrapText="1"/>
    </xf>
    <xf numFmtId="0" fontId="5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 readingOrder="1"/>
    </xf>
    <xf numFmtId="0" fontId="6" fillId="2" borderId="3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 readingOrder="1"/>
    </xf>
    <xf numFmtId="0" fontId="6" fillId="2" borderId="5" xfId="0" applyFont="1" applyFill="1" applyBorder="1" applyAlignment="1">
      <alignment horizontal="center" vertical="center"/>
    </xf>
    <xf numFmtId="0" fontId="5" fillId="0" borderId="0" xfId="0" applyFont="1" applyAlignment="1">
      <alignment vertical="top"/>
    </xf>
    <xf numFmtId="0" fontId="5" fillId="0" borderId="2" xfId="0" applyFont="1" applyBorder="1" applyAlignment="1">
      <alignment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5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5" fillId="3" borderId="5" xfId="0" applyFont="1" applyFill="1" applyBorder="1" applyAlignment="1">
      <alignment vertical="top" wrapText="1"/>
    </xf>
    <xf numFmtId="0" fontId="5" fillId="3" borderId="3" xfId="0" applyFont="1" applyFill="1" applyBorder="1" applyAlignment="1">
      <alignment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56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top"/>
    </xf>
    <xf numFmtId="0" fontId="5" fillId="3" borderId="0" xfId="0" applyFont="1" applyFill="1" applyAlignment="1">
      <alignment vertical="top" wrapText="1"/>
    </xf>
    <xf numFmtId="0" fontId="7" fillId="0" borderId="0" xfId="0" applyFont="1" applyAlignment="1">
      <alignment horizontal="left" vertical="top" wrapText="1"/>
    </xf>
    <xf numFmtId="56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6" xfId="0" applyFont="1" applyBorder="1" applyAlignment="1">
      <alignment horizontal="left" vertical="top"/>
    </xf>
    <xf numFmtId="0" fontId="5" fillId="3" borderId="6" xfId="0" applyFont="1" applyFill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7" fillId="0" borderId="6" xfId="0" applyFont="1" applyBorder="1" applyAlignment="1">
      <alignment horizontal="left" vertical="top" wrapText="1"/>
    </xf>
    <xf numFmtId="56" fontId="5" fillId="0" borderId="6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top" wrapText="1"/>
    </xf>
    <xf numFmtId="0" fontId="5" fillId="3" borderId="3" xfId="0" applyFont="1" applyFill="1" applyBorder="1" applyAlignment="1">
      <alignment horizontal="left" vertical="top" wrapText="1"/>
    </xf>
    <xf numFmtId="0" fontId="9" fillId="0" borderId="0" xfId="0" applyFont="1">
      <alignment vertical="center"/>
    </xf>
    <xf numFmtId="0" fontId="7" fillId="5" borderId="1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3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top" wrapText="1"/>
    </xf>
    <xf numFmtId="0" fontId="5" fillId="0" borderId="5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3" borderId="5" xfId="0" applyFont="1" applyFill="1" applyBorder="1" applyAlignment="1">
      <alignment vertical="top" wrapText="1"/>
    </xf>
    <xf numFmtId="0" fontId="5" fillId="3" borderId="3" xfId="0" applyFont="1" applyFill="1" applyBorder="1" applyAlignment="1">
      <alignment vertical="top" wrapText="1"/>
    </xf>
    <xf numFmtId="0" fontId="5" fillId="3" borderId="2" xfId="0" applyFont="1" applyFill="1" applyBorder="1" applyAlignment="1">
      <alignment vertical="top" wrapText="1"/>
    </xf>
    <xf numFmtId="0" fontId="7" fillId="4" borderId="1" xfId="0" applyFont="1" applyFill="1" applyBorder="1" applyAlignment="1">
      <alignment horizontal="center" vertical="center" wrapText="1"/>
    </xf>
  </cellXfs>
  <cellStyles count="3">
    <cellStyle name="ハイパーリンク" xfId="2" builtinId="8" customBuiltin="1"/>
    <cellStyle name="標準" xfId="0" builtinId="0"/>
    <cellStyle name="標準 2" xfId="1" xr:uid="{2EEC967C-CC4E-4F6E-AE7B-21076F593FE3}"/>
  </cellStyles>
  <dxfs count="0"/>
  <tableStyles count="0" defaultTableStyle="TableStyleMedium2" defaultPivotStyle="PivotStyleLight16"/>
  <colors>
    <mruColors>
      <color rgb="FFFFFF66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02DED-3BF4-436B-9C27-9C8297149B10}">
  <dimension ref="A1:O66"/>
  <sheetViews>
    <sheetView zoomScaleNormal="100" workbookViewId="0">
      <selection activeCell="F15" sqref="F15:F25"/>
    </sheetView>
    <sheetView topLeftCell="A35" workbookViewId="1"/>
  </sheetViews>
  <sheetFormatPr defaultColWidth="13" defaultRowHeight="13.2"/>
  <cols>
    <col min="1" max="1" width="4.69921875" style="2" customWidth="1"/>
    <col min="2" max="2" width="17.69921875" style="1" customWidth="1"/>
    <col min="3" max="4" width="27.3984375" style="1" customWidth="1"/>
    <col min="5" max="5" width="21" style="1" customWidth="1"/>
    <col min="6" max="6" width="45.09765625" style="1" customWidth="1"/>
    <col min="7" max="7" width="37.5" style="1" customWidth="1"/>
    <col min="8" max="8" width="25" style="1" customWidth="1"/>
    <col min="9" max="14" width="10.59765625" style="1" customWidth="1"/>
    <col min="15" max="16384" width="13" style="1"/>
  </cols>
  <sheetData>
    <row r="1" spans="1:14">
      <c r="B1" s="1" t="s">
        <v>19</v>
      </c>
    </row>
    <row r="2" spans="1:14">
      <c r="B2" s="21"/>
      <c r="C2" s="21"/>
      <c r="D2" s="21"/>
    </row>
    <row r="3" spans="1:14">
      <c r="B3" s="21"/>
      <c r="C3" s="21"/>
      <c r="D3" s="21"/>
    </row>
    <row r="4" spans="1:14" s="2" customFormat="1">
      <c r="A4" s="20"/>
      <c r="B4" s="19"/>
      <c r="C4" s="19"/>
      <c r="D4" s="19"/>
      <c r="E4" s="19"/>
      <c r="F4" s="18"/>
      <c r="G4" s="18"/>
      <c r="H4" s="18"/>
      <c r="I4" s="60"/>
      <c r="J4" s="60"/>
      <c r="K4" s="60"/>
      <c r="L4" s="60"/>
      <c r="M4" s="60"/>
      <c r="N4" s="60"/>
    </row>
    <row r="5" spans="1:14" s="2" customFormat="1">
      <c r="A5" s="17" t="s">
        <v>0</v>
      </c>
      <c r="B5" s="16" t="s">
        <v>13</v>
      </c>
      <c r="C5" s="16" t="s">
        <v>12</v>
      </c>
      <c r="D5" s="16" t="s">
        <v>11</v>
      </c>
      <c r="E5" s="16" t="s">
        <v>10</v>
      </c>
      <c r="F5" s="15" t="s">
        <v>9</v>
      </c>
      <c r="G5" s="15" t="s">
        <v>8</v>
      </c>
      <c r="H5" s="15" t="s">
        <v>7</v>
      </c>
      <c r="I5" s="14" t="s">
        <v>6</v>
      </c>
      <c r="J5" s="14" t="s">
        <v>5</v>
      </c>
      <c r="K5" s="14" t="s">
        <v>4</v>
      </c>
      <c r="L5" s="14" t="s">
        <v>3</v>
      </c>
      <c r="M5" s="14" t="s">
        <v>2</v>
      </c>
      <c r="N5" s="14" t="s">
        <v>1</v>
      </c>
    </row>
    <row r="6" spans="1:14" s="2" customFormat="1" ht="26.4" customHeight="1">
      <c r="A6" s="11">
        <f t="shared" ref="A6:A46" si="0">ROW()-5</f>
        <v>1</v>
      </c>
      <c r="B6" s="57" t="s">
        <v>25</v>
      </c>
      <c r="C6" s="13" t="s">
        <v>15</v>
      </c>
      <c r="D6" s="13" t="s">
        <v>20</v>
      </c>
      <c r="E6" s="13" t="s">
        <v>16</v>
      </c>
      <c r="F6" s="4" t="s">
        <v>21</v>
      </c>
      <c r="G6" s="4" t="s">
        <v>22</v>
      </c>
      <c r="H6" s="12"/>
      <c r="I6" s="6"/>
      <c r="J6" s="5"/>
      <c r="K6" s="5"/>
      <c r="L6" s="12"/>
      <c r="M6" s="12"/>
      <c r="N6" s="12"/>
    </row>
    <row r="7" spans="1:14" s="2" customFormat="1">
      <c r="A7" s="11">
        <f t="shared" si="0"/>
        <v>2</v>
      </c>
      <c r="B7" s="58"/>
      <c r="C7" s="48" t="s">
        <v>14</v>
      </c>
      <c r="D7" s="48" t="s">
        <v>28</v>
      </c>
      <c r="E7" s="13" t="s">
        <v>33</v>
      </c>
      <c r="F7" s="48" t="s">
        <v>39</v>
      </c>
      <c r="G7" s="10" t="s">
        <v>34</v>
      </c>
      <c r="H7" s="12"/>
      <c r="I7" s="6"/>
      <c r="J7" s="5"/>
      <c r="K7" s="5"/>
      <c r="L7" s="12"/>
      <c r="M7" s="12"/>
      <c r="N7" s="12"/>
    </row>
    <row r="8" spans="1:14" ht="46.2" customHeight="1">
      <c r="A8" s="11">
        <f t="shared" si="0"/>
        <v>3</v>
      </c>
      <c r="B8" s="58"/>
      <c r="C8" s="49"/>
      <c r="D8" s="49"/>
      <c r="E8" s="54" t="s">
        <v>29</v>
      </c>
      <c r="F8" s="49"/>
      <c r="G8" s="4" t="s">
        <v>35</v>
      </c>
      <c r="H8" s="7"/>
      <c r="I8" s="6"/>
      <c r="J8" s="5"/>
      <c r="K8" s="5"/>
      <c r="L8" s="3"/>
      <c r="M8" s="3"/>
      <c r="N8" s="3"/>
    </row>
    <row r="9" spans="1:14" ht="48" customHeight="1">
      <c r="A9" s="11">
        <f t="shared" si="0"/>
        <v>4</v>
      </c>
      <c r="B9" s="58"/>
      <c r="C9" s="49"/>
      <c r="D9" s="49"/>
      <c r="E9" s="56"/>
      <c r="F9" s="49"/>
      <c r="G9" s="4" t="s">
        <v>128</v>
      </c>
      <c r="H9" s="7"/>
      <c r="I9" s="6"/>
      <c r="J9" s="5"/>
      <c r="K9" s="5"/>
      <c r="L9" s="3"/>
      <c r="M9" s="3"/>
      <c r="N9" s="3"/>
    </row>
    <row r="10" spans="1:14" ht="29.4" customHeight="1">
      <c r="A10" s="11">
        <f t="shared" si="0"/>
        <v>5</v>
      </c>
      <c r="B10" s="58"/>
      <c r="C10" s="49"/>
      <c r="D10" s="49"/>
      <c r="E10" s="54" t="s">
        <v>30</v>
      </c>
      <c r="F10" s="49"/>
      <c r="G10" s="4" t="s">
        <v>36</v>
      </c>
      <c r="H10" s="3"/>
      <c r="I10" s="6"/>
      <c r="J10" s="5"/>
      <c r="K10" s="5"/>
      <c r="L10" s="3"/>
      <c r="M10" s="3"/>
      <c r="N10" s="3"/>
    </row>
    <row r="11" spans="1:14" ht="43.95" customHeight="1">
      <c r="A11" s="11">
        <f t="shared" si="0"/>
        <v>6</v>
      </c>
      <c r="B11" s="58"/>
      <c r="C11" s="49"/>
      <c r="D11" s="49"/>
      <c r="E11" s="56"/>
      <c r="F11" s="49"/>
      <c r="G11" s="4" t="s">
        <v>37</v>
      </c>
      <c r="H11" s="3"/>
      <c r="I11" s="6"/>
      <c r="J11" s="5"/>
      <c r="K11" s="5"/>
      <c r="L11" s="3"/>
      <c r="M11" s="3"/>
      <c r="N11" s="3"/>
    </row>
    <row r="12" spans="1:14" ht="43.95" customHeight="1">
      <c r="A12" s="11">
        <f t="shared" si="0"/>
        <v>7</v>
      </c>
      <c r="B12" s="58"/>
      <c r="C12" s="49"/>
      <c r="D12" s="49"/>
      <c r="E12" s="3" t="s">
        <v>31</v>
      </c>
      <c r="F12" s="49"/>
      <c r="G12" s="4" t="s">
        <v>42</v>
      </c>
      <c r="H12" s="3"/>
      <c r="I12" s="6"/>
      <c r="J12" s="5"/>
      <c r="K12" s="5"/>
      <c r="L12" s="3"/>
      <c r="M12" s="3"/>
      <c r="N12" s="3"/>
    </row>
    <row r="13" spans="1:14" ht="31.95" customHeight="1">
      <c r="A13" s="11">
        <f t="shared" si="0"/>
        <v>8</v>
      </c>
      <c r="B13" s="58"/>
      <c r="C13" s="49"/>
      <c r="D13" s="50"/>
      <c r="E13" s="3" t="s">
        <v>32</v>
      </c>
      <c r="F13" s="49"/>
      <c r="G13" s="4" t="s">
        <v>38</v>
      </c>
      <c r="H13" s="22"/>
      <c r="I13" s="6"/>
      <c r="J13" s="5"/>
      <c r="K13" s="5"/>
      <c r="L13" s="22"/>
      <c r="M13" s="22"/>
      <c r="N13" s="22"/>
    </row>
    <row r="14" spans="1:14" s="2" customFormat="1" ht="16.95" customHeight="1">
      <c r="A14" s="11">
        <f t="shared" si="0"/>
        <v>9</v>
      </c>
      <c r="B14" s="58"/>
      <c r="C14" s="49"/>
      <c r="D14" s="23" t="s">
        <v>50</v>
      </c>
      <c r="E14" s="13" t="s">
        <v>26</v>
      </c>
      <c r="F14" s="50"/>
      <c r="G14" s="4" t="s">
        <v>40</v>
      </c>
      <c r="H14" s="12"/>
      <c r="I14" s="6"/>
      <c r="J14" s="5"/>
      <c r="K14" s="5"/>
      <c r="L14" s="12"/>
      <c r="M14" s="12"/>
      <c r="N14" s="12"/>
    </row>
    <row r="15" spans="1:14" ht="18.600000000000001" customHeight="1">
      <c r="A15" s="11">
        <f t="shared" si="0"/>
        <v>10</v>
      </c>
      <c r="B15" s="58"/>
      <c r="C15" s="57" t="s">
        <v>27</v>
      </c>
      <c r="D15" s="48" t="s">
        <v>78</v>
      </c>
      <c r="E15" s="3" t="s">
        <v>26</v>
      </c>
      <c r="F15" s="51" t="s">
        <v>82</v>
      </c>
      <c r="G15" s="4" t="s">
        <v>41</v>
      </c>
      <c r="H15" s="7"/>
      <c r="I15" s="6"/>
      <c r="J15" s="5"/>
      <c r="K15" s="5"/>
      <c r="L15" s="9"/>
      <c r="M15" s="8"/>
      <c r="N15" s="8"/>
    </row>
    <row r="16" spans="1:14" ht="32.4" customHeight="1">
      <c r="A16" s="11">
        <f t="shared" si="0"/>
        <v>11</v>
      </c>
      <c r="B16" s="58"/>
      <c r="C16" s="58"/>
      <c r="D16" s="49"/>
      <c r="E16" s="3" t="s">
        <v>33</v>
      </c>
      <c r="F16" s="53"/>
      <c r="G16" s="4" t="s">
        <v>43</v>
      </c>
      <c r="H16" s="7"/>
      <c r="I16" s="6"/>
      <c r="J16" s="5"/>
      <c r="K16" s="5"/>
      <c r="L16" s="9"/>
      <c r="M16" s="8"/>
      <c r="N16" s="8"/>
    </row>
    <row r="17" spans="1:14" ht="30" customHeight="1">
      <c r="A17" s="11">
        <f t="shared" si="0"/>
        <v>12</v>
      </c>
      <c r="B17" s="58"/>
      <c r="C17" s="58"/>
      <c r="D17" s="49"/>
      <c r="E17" s="51" t="s">
        <v>29</v>
      </c>
      <c r="F17" s="53"/>
      <c r="G17" s="4" t="s">
        <v>79</v>
      </c>
      <c r="H17" s="7"/>
      <c r="I17" s="6"/>
      <c r="J17" s="5"/>
      <c r="K17" s="5"/>
      <c r="L17" s="6"/>
      <c r="M17" s="5"/>
      <c r="N17" s="5"/>
    </row>
    <row r="18" spans="1:14" ht="27.6" customHeight="1">
      <c r="A18" s="11">
        <f t="shared" si="0"/>
        <v>13</v>
      </c>
      <c r="B18" s="58"/>
      <c r="C18" s="58"/>
      <c r="D18" s="49"/>
      <c r="E18" s="52"/>
      <c r="F18" s="53"/>
      <c r="G18" s="4" t="s">
        <v>127</v>
      </c>
      <c r="H18" s="7"/>
      <c r="I18" s="6"/>
      <c r="J18" s="5"/>
      <c r="K18" s="5"/>
      <c r="L18" s="3"/>
      <c r="M18" s="3"/>
      <c r="N18" s="3"/>
    </row>
    <row r="19" spans="1:14" ht="46.2" customHeight="1">
      <c r="A19" s="11">
        <f t="shared" si="0"/>
        <v>14</v>
      </c>
      <c r="B19" s="58"/>
      <c r="C19" s="58"/>
      <c r="D19" s="49"/>
      <c r="E19" s="25" t="s">
        <v>94</v>
      </c>
      <c r="F19" s="53"/>
      <c r="G19" s="4" t="s">
        <v>89</v>
      </c>
      <c r="H19" s="7"/>
      <c r="I19" s="6"/>
      <c r="J19" s="5"/>
      <c r="K19" s="5"/>
      <c r="L19" s="3"/>
      <c r="M19" s="3"/>
      <c r="N19" s="3"/>
    </row>
    <row r="20" spans="1:14" ht="35.4" customHeight="1">
      <c r="A20" s="11">
        <f t="shared" si="0"/>
        <v>15</v>
      </c>
      <c r="B20" s="58"/>
      <c r="C20" s="58"/>
      <c r="D20" s="49"/>
      <c r="E20" s="51" t="s">
        <v>30</v>
      </c>
      <c r="F20" s="53"/>
      <c r="G20" s="4" t="s">
        <v>85</v>
      </c>
      <c r="H20" s="7"/>
      <c r="I20" s="6"/>
      <c r="J20" s="5"/>
      <c r="K20" s="5"/>
      <c r="L20" s="3"/>
      <c r="M20" s="3"/>
      <c r="N20" s="3"/>
    </row>
    <row r="21" spans="1:14" ht="46.95" customHeight="1">
      <c r="A21" s="11">
        <f t="shared" si="0"/>
        <v>16</v>
      </c>
      <c r="B21" s="58"/>
      <c r="C21" s="58"/>
      <c r="D21" s="49"/>
      <c r="E21" s="52"/>
      <c r="F21" s="53"/>
      <c r="G21" s="4" t="s">
        <v>86</v>
      </c>
      <c r="H21" s="7"/>
      <c r="I21" s="6"/>
      <c r="J21" s="5"/>
      <c r="K21" s="5"/>
      <c r="L21" s="3"/>
      <c r="M21" s="3"/>
      <c r="N21" s="3"/>
    </row>
    <row r="22" spans="1:14" ht="46.95" customHeight="1">
      <c r="A22" s="11">
        <f t="shared" si="0"/>
        <v>17</v>
      </c>
      <c r="B22" s="58"/>
      <c r="C22" s="58"/>
      <c r="D22" s="49"/>
      <c r="E22" s="25" t="s">
        <v>103</v>
      </c>
      <c r="F22" s="53"/>
      <c r="G22" s="4" t="s">
        <v>90</v>
      </c>
      <c r="H22" s="7"/>
      <c r="I22" s="6"/>
      <c r="J22" s="5"/>
      <c r="K22" s="5"/>
      <c r="L22" s="3"/>
      <c r="M22" s="3"/>
      <c r="N22" s="3"/>
    </row>
    <row r="23" spans="1:14" ht="47.4" customHeight="1">
      <c r="A23" s="11">
        <f t="shared" si="0"/>
        <v>18</v>
      </c>
      <c r="B23" s="58"/>
      <c r="C23" s="58"/>
      <c r="D23" s="49"/>
      <c r="E23" s="25" t="s">
        <v>31</v>
      </c>
      <c r="F23" s="53"/>
      <c r="G23" s="4" t="s">
        <v>87</v>
      </c>
      <c r="H23" s="7"/>
      <c r="I23" s="6"/>
      <c r="J23" s="5"/>
      <c r="K23" s="5"/>
      <c r="L23" s="3"/>
      <c r="M23" s="3"/>
      <c r="N23" s="3"/>
    </row>
    <row r="24" spans="1:14" ht="47.4" customHeight="1">
      <c r="A24" s="11">
        <f t="shared" si="0"/>
        <v>19</v>
      </c>
      <c r="B24" s="58"/>
      <c r="C24" s="58"/>
      <c r="D24" s="49"/>
      <c r="E24" s="25" t="s">
        <v>102</v>
      </c>
      <c r="F24" s="53"/>
      <c r="G24" s="4" t="s">
        <v>101</v>
      </c>
      <c r="H24" s="7"/>
      <c r="I24" s="6"/>
      <c r="J24" s="5"/>
      <c r="K24" s="5"/>
      <c r="L24" s="3"/>
      <c r="M24" s="3"/>
      <c r="N24" s="3"/>
    </row>
    <row r="25" spans="1:14" ht="33.6" customHeight="1">
      <c r="A25" s="11">
        <f t="shared" si="0"/>
        <v>20</v>
      </c>
      <c r="B25" s="58"/>
      <c r="C25" s="58"/>
      <c r="D25" s="50"/>
      <c r="E25" s="26" t="s">
        <v>32</v>
      </c>
      <c r="F25" s="52"/>
      <c r="G25" s="4" t="s">
        <v>122</v>
      </c>
      <c r="H25" s="3"/>
      <c r="I25" s="6"/>
      <c r="J25" s="5"/>
      <c r="K25" s="5"/>
      <c r="L25" s="3"/>
      <c r="M25" s="3"/>
      <c r="N25" s="3"/>
    </row>
    <row r="26" spans="1:14" ht="42.6" customHeight="1">
      <c r="A26" s="11">
        <f t="shared" si="0"/>
        <v>21</v>
      </c>
      <c r="B26" s="58"/>
      <c r="C26" s="58"/>
      <c r="D26" s="54" t="s">
        <v>80</v>
      </c>
      <c r="E26" s="3" t="s">
        <v>26</v>
      </c>
      <c r="F26" s="51" t="s">
        <v>81</v>
      </c>
      <c r="G26" s="4" t="s">
        <v>41</v>
      </c>
      <c r="H26" s="3"/>
      <c r="I26" s="6"/>
      <c r="J26" s="5"/>
      <c r="K26" s="5"/>
      <c r="L26" s="3"/>
      <c r="M26" s="3"/>
      <c r="N26" s="3"/>
    </row>
    <row r="27" spans="1:14" ht="29.4" customHeight="1">
      <c r="A27" s="11">
        <f t="shared" si="0"/>
        <v>22</v>
      </c>
      <c r="B27" s="58"/>
      <c r="C27" s="58"/>
      <c r="D27" s="55"/>
      <c r="E27" s="3" t="s">
        <v>33</v>
      </c>
      <c r="F27" s="53"/>
      <c r="G27" s="4" t="s">
        <v>43</v>
      </c>
      <c r="H27" s="3"/>
      <c r="I27" s="6"/>
      <c r="J27" s="5"/>
      <c r="K27" s="5"/>
      <c r="L27" s="3"/>
      <c r="M27" s="3"/>
      <c r="N27" s="3"/>
    </row>
    <row r="28" spans="1:14" ht="43.2" customHeight="1">
      <c r="A28" s="11">
        <f t="shared" si="0"/>
        <v>23</v>
      </c>
      <c r="B28" s="58"/>
      <c r="C28" s="58"/>
      <c r="D28" s="55"/>
      <c r="E28" s="25" t="s">
        <v>104</v>
      </c>
      <c r="F28" s="53"/>
      <c r="G28" s="4" t="s">
        <v>88</v>
      </c>
      <c r="H28" s="3"/>
      <c r="I28" s="6"/>
      <c r="J28" s="5"/>
      <c r="K28" s="5"/>
      <c r="L28" s="3"/>
      <c r="M28" s="3"/>
      <c r="N28" s="3"/>
    </row>
    <row r="29" spans="1:14" ht="16.95" customHeight="1">
      <c r="A29" s="11">
        <f t="shared" si="0"/>
        <v>24</v>
      </c>
      <c r="B29" s="58"/>
      <c r="C29" s="58"/>
      <c r="D29" s="55"/>
      <c r="E29" s="25" t="s">
        <v>29</v>
      </c>
      <c r="F29" s="53"/>
      <c r="G29" s="4" t="s">
        <v>117</v>
      </c>
      <c r="H29" s="3"/>
      <c r="I29" s="6"/>
      <c r="J29" s="5"/>
      <c r="K29" s="5"/>
      <c r="L29" s="3"/>
      <c r="M29" s="3"/>
      <c r="N29" s="3"/>
    </row>
    <row r="30" spans="1:14" ht="45" customHeight="1">
      <c r="A30" s="11">
        <f t="shared" si="0"/>
        <v>25</v>
      </c>
      <c r="B30" s="58"/>
      <c r="C30" s="58"/>
      <c r="D30" s="55"/>
      <c r="E30" s="25" t="s">
        <v>94</v>
      </c>
      <c r="F30" s="53"/>
      <c r="G30" s="4" t="s">
        <v>89</v>
      </c>
      <c r="H30" s="3"/>
      <c r="I30" s="6"/>
      <c r="J30" s="5"/>
      <c r="K30" s="5"/>
      <c r="L30" s="3"/>
      <c r="M30" s="3"/>
      <c r="N30" s="3"/>
    </row>
    <row r="31" spans="1:14" ht="31.95" customHeight="1">
      <c r="A31" s="11">
        <f t="shared" si="0"/>
        <v>26</v>
      </c>
      <c r="B31" s="58"/>
      <c r="C31" s="58"/>
      <c r="D31" s="55"/>
      <c r="E31" s="51" t="s">
        <v>30</v>
      </c>
      <c r="F31" s="53"/>
      <c r="G31" s="4" t="s">
        <v>120</v>
      </c>
      <c r="H31" s="3"/>
      <c r="I31" s="6"/>
      <c r="J31" s="5"/>
      <c r="K31" s="5"/>
      <c r="L31" s="3"/>
      <c r="M31" s="3"/>
      <c r="N31" s="3"/>
    </row>
    <row r="32" spans="1:14" ht="42" customHeight="1">
      <c r="A32" s="11">
        <f t="shared" si="0"/>
        <v>27</v>
      </c>
      <c r="B32" s="58"/>
      <c r="C32" s="58"/>
      <c r="D32" s="55"/>
      <c r="E32" s="52"/>
      <c r="F32" s="53"/>
      <c r="G32" s="4" t="s">
        <v>121</v>
      </c>
      <c r="H32" s="3"/>
      <c r="I32" s="6"/>
      <c r="J32" s="5"/>
      <c r="K32" s="5"/>
      <c r="L32" s="3"/>
      <c r="M32" s="3"/>
      <c r="N32" s="3"/>
    </row>
    <row r="33" spans="1:15" ht="42" customHeight="1">
      <c r="A33" s="11">
        <f t="shared" si="0"/>
        <v>28</v>
      </c>
      <c r="B33" s="58"/>
      <c r="C33" s="58"/>
      <c r="D33" s="55"/>
      <c r="E33" s="25" t="s">
        <v>103</v>
      </c>
      <c r="F33" s="53"/>
      <c r="G33" s="4" t="s">
        <v>90</v>
      </c>
      <c r="H33" s="3"/>
      <c r="I33" s="6"/>
      <c r="J33" s="5"/>
      <c r="K33" s="5"/>
      <c r="L33" s="3"/>
      <c r="M33" s="3"/>
      <c r="N33" s="3"/>
    </row>
    <row r="34" spans="1:15" ht="41.4" customHeight="1">
      <c r="A34" s="11">
        <f t="shared" si="0"/>
        <v>29</v>
      </c>
      <c r="B34" s="58"/>
      <c r="C34" s="58"/>
      <c r="D34" s="55"/>
      <c r="E34" s="25" t="s">
        <v>31</v>
      </c>
      <c r="F34" s="53"/>
      <c r="G34" s="4" t="s">
        <v>118</v>
      </c>
      <c r="H34" s="3"/>
      <c r="I34" s="6"/>
      <c r="J34" s="5"/>
      <c r="K34" s="5"/>
      <c r="L34" s="3"/>
      <c r="M34" s="3"/>
      <c r="N34" s="3"/>
    </row>
    <row r="35" spans="1:15" ht="41.4" customHeight="1">
      <c r="A35" s="11">
        <f t="shared" si="0"/>
        <v>30</v>
      </c>
      <c r="B35" s="58"/>
      <c r="C35" s="58"/>
      <c r="D35" s="55"/>
      <c r="E35" s="25" t="s">
        <v>102</v>
      </c>
      <c r="F35" s="53"/>
      <c r="G35" s="4" t="s">
        <v>101</v>
      </c>
      <c r="H35" s="3"/>
      <c r="I35" s="6"/>
      <c r="J35" s="5"/>
      <c r="K35" s="5"/>
      <c r="L35" s="3"/>
      <c r="M35" s="3"/>
      <c r="N35" s="3"/>
    </row>
    <row r="36" spans="1:15" ht="34.950000000000003" customHeight="1">
      <c r="A36" s="11">
        <f t="shared" si="0"/>
        <v>31</v>
      </c>
      <c r="B36" s="58"/>
      <c r="C36" s="59"/>
      <c r="D36" s="56"/>
      <c r="E36" s="26" t="s">
        <v>32</v>
      </c>
      <c r="F36" s="52"/>
      <c r="G36" s="4" t="s">
        <v>119</v>
      </c>
      <c r="H36" s="3"/>
      <c r="I36" s="6"/>
      <c r="J36" s="5"/>
      <c r="K36" s="5"/>
      <c r="L36" s="3"/>
      <c r="M36" s="3"/>
      <c r="N36" s="3"/>
    </row>
    <row r="37" spans="1:15" ht="34.950000000000003" customHeight="1">
      <c r="A37" s="11">
        <f t="shared" si="0"/>
        <v>32</v>
      </c>
      <c r="B37" s="58"/>
      <c r="C37" s="51" t="s">
        <v>83</v>
      </c>
      <c r="D37" s="51" t="s">
        <v>95</v>
      </c>
      <c r="E37" s="22" t="s">
        <v>26</v>
      </c>
      <c r="F37" s="51" t="s">
        <v>96</v>
      </c>
      <c r="G37" s="4" t="s">
        <v>84</v>
      </c>
      <c r="H37" s="3"/>
      <c r="I37" s="6"/>
      <c r="J37" s="5"/>
      <c r="K37" s="5"/>
      <c r="L37" s="3"/>
      <c r="M37" s="3"/>
      <c r="N37" s="3"/>
    </row>
    <row r="38" spans="1:15" ht="24" customHeight="1">
      <c r="A38" s="11">
        <f t="shared" si="0"/>
        <v>33</v>
      </c>
      <c r="B38" s="58"/>
      <c r="C38" s="53"/>
      <c r="D38" s="53"/>
      <c r="E38" s="22" t="s">
        <v>33</v>
      </c>
      <c r="F38" s="53"/>
      <c r="G38" s="4" t="s">
        <v>91</v>
      </c>
      <c r="H38" s="3"/>
      <c r="I38" s="6"/>
      <c r="J38" s="5"/>
      <c r="K38" s="5"/>
      <c r="L38" s="3"/>
      <c r="M38" s="3"/>
      <c r="N38" s="3"/>
    </row>
    <row r="39" spans="1:15" ht="31.95" customHeight="1">
      <c r="A39" s="11">
        <f t="shared" si="0"/>
        <v>34</v>
      </c>
      <c r="B39" s="58"/>
      <c r="C39" s="53"/>
      <c r="D39" s="53"/>
      <c r="E39" s="22" t="s">
        <v>92</v>
      </c>
      <c r="F39" s="53"/>
      <c r="G39" s="4" t="s">
        <v>97</v>
      </c>
      <c r="H39" s="3"/>
      <c r="I39" s="6"/>
      <c r="J39" s="5"/>
      <c r="K39" s="5"/>
      <c r="L39" s="3"/>
      <c r="M39" s="3"/>
      <c r="N39" s="3"/>
    </row>
    <row r="40" spans="1:15" ht="34.200000000000003" customHeight="1">
      <c r="A40" s="11">
        <f t="shared" si="0"/>
        <v>35</v>
      </c>
      <c r="B40" s="58"/>
      <c r="C40" s="53"/>
      <c r="D40" s="52"/>
      <c r="E40" s="22" t="s">
        <v>93</v>
      </c>
      <c r="F40" s="52"/>
      <c r="G40" s="4" t="s">
        <v>116</v>
      </c>
      <c r="H40" s="3"/>
      <c r="I40" s="6"/>
      <c r="J40" s="5"/>
      <c r="K40" s="5"/>
      <c r="L40" s="3"/>
      <c r="M40" s="3"/>
      <c r="N40" s="3"/>
    </row>
    <row r="41" spans="1:15" ht="34.200000000000003" customHeight="1">
      <c r="A41" s="11">
        <f t="shared" si="0"/>
        <v>36</v>
      </c>
      <c r="B41" s="58"/>
      <c r="C41" s="53"/>
      <c r="D41" s="51" t="s">
        <v>106</v>
      </c>
      <c r="E41" s="22" t="s">
        <v>26</v>
      </c>
      <c r="F41" s="51" t="s">
        <v>99</v>
      </c>
      <c r="G41" s="4" t="s">
        <v>84</v>
      </c>
      <c r="H41" s="3"/>
      <c r="I41" s="6"/>
      <c r="J41" s="5"/>
      <c r="K41" s="5"/>
      <c r="L41" s="3"/>
      <c r="M41" s="3"/>
      <c r="N41" s="3"/>
    </row>
    <row r="42" spans="1:15" ht="34.200000000000003" customHeight="1">
      <c r="A42" s="11">
        <f t="shared" si="0"/>
        <v>37</v>
      </c>
      <c r="B42" s="58"/>
      <c r="C42" s="53"/>
      <c r="D42" s="53"/>
      <c r="E42" s="22" t="s">
        <v>33</v>
      </c>
      <c r="F42" s="53"/>
      <c r="G42" s="4" t="s">
        <v>91</v>
      </c>
      <c r="H42" s="3"/>
      <c r="I42" s="6"/>
      <c r="J42" s="5"/>
      <c r="K42" s="5"/>
      <c r="L42" s="3"/>
      <c r="M42" s="3"/>
      <c r="N42" s="3"/>
    </row>
    <row r="43" spans="1:15" ht="33.6" customHeight="1">
      <c r="A43" s="11">
        <f t="shared" si="0"/>
        <v>38</v>
      </c>
      <c r="B43" s="58"/>
      <c r="C43" s="53"/>
      <c r="D43" s="53"/>
      <c r="E43" s="22" t="s">
        <v>92</v>
      </c>
      <c r="F43" s="53"/>
      <c r="G43" s="4" t="s">
        <v>98</v>
      </c>
      <c r="H43" s="3"/>
      <c r="I43" s="6"/>
      <c r="J43" s="5"/>
      <c r="K43" s="5"/>
      <c r="L43" s="3"/>
      <c r="M43" s="3"/>
      <c r="N43" s="3"/>
    </row>
    <row r="44" spans="1:15" ht="33.6" customHeight="1">
      <c r="A44" s="11">
        <f t="shared" si="0"/>
        <v>39</v>
      </c>
      <c r="B44" s="58"/>
      <c r="C44" s="52"/>
      <c r="D44" s="52"/>
      <c r="E44" s="22" t="s">
        <v>93</v>
      </c>
      <c r="F44" s="52"/>
      <c r="G44" s="4" t="s">
        <v>100</v>
      </c>
      <c r="H44" s="3"/>
      <c r="I44" s="6"/>
      <c r="J44" s="5"/>
      <c r="K44" s="5"/>
      <c r="L44" s="3"/>
      <c r="M44" s="3"/>
      <c r="N44" s="3"/>
    </row>
    <row r="45" spans="1:15" ht="63" customHeight="1">
      <c r="A45" s="11">
        <f t="shared" si="0"/>
        <v>40</v>
      </c>
      <c r="B45" s="58"/>
      <c r="C45" s="24" t="s">
        <v>46</v>
      </c>
      <c r="D45" s="24" t="s">
        <v>44</v>
      </c>
      <c r="E45" s="24" t="s">
        <v>29</v>
      </c>
      <c r="F45" s="22" t="s">
        <v>45</v>
      </c>
      <c r="G45" s="4" t="s">
        <v>105</v>
      </c>
      <c r="H45" s="3"/>
      <c r="I45" s="6"/>
      <c r="J45" s="5"/>
      <c r="K45" s="5"/>
      <c r="L45" s="3"/>
      <c r="M45" s="3"/>
      <c r="N45" s="3"/>
    </row>
    <row r="46" spans="1:15">
      <c r="A46" s="11">
        <f t="shared" si="0"/>
        <v>41</v>
      </c>
      <c r="B46" s="58"/>
      <c r="C46" s="25" t="s">
        <v>17</v>
      </c>
      <c r="D46" s="25" t="s">
        <v>76</v>
      </c>
      <c r="E46" s="25" t="s">
        <v>47</v>
      </c>
      <c r="F46" s="25" t="s">
        <v>48</v>
      </c>
      <c r="G46" s="30" t="s">
        <v>49</v>
      </c>
      <c r="H46" s="25"/>
      <c r="I46" s="31"/>
      <c r="J46" s="32"/>
      <c r="K46" s="32"/>
      <c r="L46" s="25"/>
      <c r="M46" s="25"/>
      <c r="N46" s="25"/>
    </row>
    <row r="47" spans="1:15">
      <c r="A47" s="38"/>
      <c r="B47" s="39"/>
      <c r="C47" s="40"/>
      <c r="D47" s="40"/>
      <c r="E47" s="40"/>
      <c r="F47" s="40"/>
      <c r="G47" s="41"/>
      <c r="H47" s="40"/>
      <c r="I47" s="42"/>
      <c r="J47" s="43"/>
      <c r="K47" s="43"/>
      <c r="L47" s="40"/>
      <c r="M47" s="40"/>
      <c r="N47" s="40"/>
      <c r="O47" s="40"/>
    </row>
    <row r="48" spans="1:15">
      <c r="A48" s="33"/>
      <c r="B48" s="34"/>
      <c r="G48" s="35"/>
      <c r="I48" s="36"/>
      <c r="J48" s="37"/>
      <c r="K48" s="37"/>
    </row>
    <row r="49" spans="1:11">
      <c r="A49" s="33"/>
      <c r="B49" s="34"/>
      <c r="G49" s="35"/>
      <c r="I49" s="36"/>
      <c r="J49" s="37"/>
      <c r="K49" s="37"/>
    </row>
    <row r="50" spans="1:11">
      <c r="A50" s="33"/>
      <c r="B50" s="34"/>
      <c r="G50" s="35"/>
      <c r="I50" s="36"/>
      <c r="J50" s="37"/>
      <c r="K50" s="37"/>
    </row>
    <row r="51" spans="1:11">
      <c r="A51" s="33"/>
      <c r="B51" s="34"/>
      <c r="G51" s="35"/>
      <c r="I51" s="36"/>
      <c r="J51" s="37"/>
      <c r="K51" s="37"/>
    </row>
    <row r="52" spans="1:11">
      <c r="A52" s="33"/>
      <c r="B52" s="34"/>
      <c r="G52" s="35"/>
      <c r="I52" s="36"/>
      <c r="J52" s="37"/>
      <c r="K52" s="37"/>
    </row>
    <row r="53" spans="1:11">
      <c r="A53" s="33"/>
      <c r="B53" s="34"/>
      <c r="G53" s="35"/>
      <c r="I53" s="36"/>
      <c r="J53" s="37"/>
      <c r="K53" s="37"/>
    </row>
    <row r="57" spans="1:11" ht="24" customHeight="1"/>
    <row r="58" spans="1:11" ht="24" customHeight="1"/>
    <row r="59" spans="1:11" ht="24" customHeight="1"/>
    <row r="60" spans="1:11" ht="24" customHeight="1"/>
    <row r="61" spans="1:11" ht="24" customHeight="1"/>
    <row r="62" spans="1:11" ht="24" customHeight="1"/>
    <row r="63" spans="1:11" ht="24" customHeight="1"/>
    <row r="64" spans="1:11" ht="24" customHeight="1"/>
    <row r="65" spans="2:14" s="2" customFormat="1" ht="24" customHeight="1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2:14" s="2" customFormat="1" ht="24" customHeight="1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</sheetData>
  <mergeCells count="20">
    <mergeCell ref="I4:N4"/>
    <mergeCell ref="C7:C14"/>
    <mergeCell ref="E8:E9"/>
    <mergeCell ref="D7:D13"/>
    <mergeCell ref="E10:E11"/>
    <mergeCell ref="B6:B46"/>
    <mergeCell ref="C37:C44"/>
    <mergeCell ref="C15:C36"/>
    <mergeCell ref="E31:E32"/>
    <mergeCell ref="F15:F25"/>
    <mergeCell ref="F7:F14"/>
    <mergeCell ref="D15:D25"/>
    <mergeCell ref="E17:E18"/>
    <mergeCell ref="E20:E21"/>
    <mergeCell ref="F41:F44"/>
    <mergeCell ref="F37:F40"/>
    <mergeCell ref="D37:D40"/>
    <mergeCell ref="D41:D44"/>
    <mergeCell ref="D26:D36"/>
    <mergeCell ref="F26:F36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DCC6E-3D1C-465B-8271-E3AD0D455B7D}">
  <dimension ref="A1:O55"/>
  <sheetViews>
    <sheetView zoomScaleNormal="100" workbookViewId="0"/>
    <sheetView tabSelected="1" topLeftCell="A25" workbookViewId="1">
      <selection activeCell="G31" sqref="G31"/>
    </sheetView>
  </sheetViews>
  <sheetFormatPr defaultColWidth="13" defaultRowHeight="13.2"/>
  <cols>
    <col min="1" max="1" width="4.69921875" style="2" customWidth="1"/>
    <col min="2" max="2" width="17.69921875" style="1" customWidth="1"/>
    <col min="3" max="4" width="27.3984375" style="1" customWidth="1"/>
    <col min="5" max="5" width="21" style="1" customWidth="1"/>
    <col min="6" max="6" width="45.09765625" style="1" customWidth="1"/>
    <col min="7" max="7" width="37.5" style="1" customWidth="1"/>
    <col min="8" max="8" width="25" style="1" customWidth="1"/>
    <col min="9" max="14" width="10.59765625" style="1" customWidth="1"/>
    <col min="15" max="16384" width="13" style="1"/>
  </cols>
  <sheetData>
    <row r="1" spans="1:14" ht="17.25" customHeight="1">
      <c r="B1" s="1" t="s">
        <v>19</v>
      </c>
      <c r="C1" s="21" t="s">
        <v>130</v>
      </c>
    </row>
    <row r="2" spans="1:14">
      <c r="B2" s="21"/>
      <c r="C2" s="21" t="s">
        <v>148</v>
      </c>
      <c r="D2" s="21"/>
    </row>
    <row r="3" spans="1:14">
      <c r="B3" s="21"/>
      <c r="C3" s="21"/>
      <c r="D3" s="21"/>
    </row>
    <row r="4" spans="1:14" s="2" customFormat="1">
      <c r="A4" s="20"/>
      <c r="B4" s="19"/>
      <c r="C4" s="19"/>
      <c r="D4" s="19"/>
      <c r="E4" s="19"/>
      <c r="F4" s="18"/>
      <c r="G4" s="18"/>
      <c r="H4" s="18"/>
      <c r="I4" s="60"/>
      <c r="J4" s="60"/>
      <c r="K4" s="60"/>
      <c r="L4" s="60"/>
      <c r="M4" s="60"/>
      <c r="N4" s="60"/>
    </row>
    <row r="5" spans="1:14" s="2" customFormat="1">
      <c r="A5" s="17" t="s">
        <v>0</v>
      </c>
      <c r="B5" s="16" t="s">
        <v>13</v>
      </c>
      <c r="C5" s="16" t="s">
        <v>12</v>
      </c>
      <c r="D5" s="16" t="s">
        <v>11</v>
      </c>
      <c r="E5" s="16" t="s">
        <v>10</v>
      </c>
      <c r="F5" s="15" t="s">
        <v>9</v>
      </c>
      <c r="G5" s="15" t="s">
        <v>8</v>
      </c>
      <c r="H5" s="15" t="s">
        <v>7</v>
      </c>
      <c r="I5" s="14" t="s">
        <v>6</v>
      </c>
      <c r="J5" s="14" t="s">
        <v>5</v>
      </c>
      <c r="K5" s="14" t="s">
        <v>4</v>
      </c>
      <c r="L5" s="14" t="s">
        <v>3</v>
      </c>
      <c r="M5" s="14" t="s">
        <v>2</v>
      </c>
      <c r="N5" s="14" t="s">
        <v>1</v>
      </c>
    </row>
    <row r="6" spans="1:14" s="2" customFormat="1" ht="26.4">
      <c r="A6" s="11">
        <f t="shared" ref="A6:A35" si="0">ROW()-5</f>
        <v>1</v>
      </c>
      <c r="B6" s="57" t="s">
        <v>25</v>
      </c>
      <c r="C6" s="13" t="s">
        <v>15</v>
      </c>
      <c r="D6" s="13" t="s">
        <v>20</v>
      </c>
      <c r="E6" s="13" t="s">
        <v>16</v>
      </c>
      <c r="F6" s="4" t="s">
        <v>21</v>
      </c>
      <c r="G6" s="4" t="s">
        <v>22</v>
      </c>
      <c r="H6" s="12"/>
      <c r="I6" s="6"/>
      <c r="J6" s="5"/>
      <c r="K6" s="5"/>
      <c r="L6" s="12"/>
      <c r="M6" s="12"/>
      <c r="N6" s="12"/>
    </row>
    <row r="7" spans="1:14" s="2" customFormat="1" ht="40.5" customHeight="1">
      <c r="A7" s="11">
        <f t="shared" si="0"/>
        <v>2</v>
      </c>
      <c r="B7" s="58"/>
      <c r="C7" s="48" t="s">
        <v>14</v>
      </c>
      <c r="D7" s="48" t="s">
        <v>134</v>
      </c>
      <c r="E7" s="27" t="s">
        <v>33</v>
      </c>
      <c r="F7" s="48"/>
      <c r="G7" s="10" t="s">
        <v>136</v>
      </c>
      <c r="H7" s="12"/>
      <c r="I7" s="6"/>
      <c r="J7" s="5"/>
      <c r="K7" s="5"/>
      <c r="L7" s="12"/>
      <c r="M7" s="12"/>
      <c r="N7" s="12"/>
    </row>
    <row r="8" spans="1:14" ht="46.2" customHeight="1">
      <c r="A8" s="11">
        <f t="shared" si="0"/>
        <v>3</v>
      </c>
      <c r="B8" s="58"/>
      <c r="C8" s="49"/>
      <c r="D8" s="49"/>
      <c r="E8" s="29" t="s">
        <v>29</v>
      </c>
      <c r="F8" s="49"/>
      <c r="G8" s="4" t="s">
        <v>139</v>
      </c>
      <c r="H8" s="7"/>
      <c r="I8" s="6"/>
      <c r="J8" s="5"/>
      <c r="K8" s="5"/>
      <c r="L8" s="3"/>
      <c r="M8" s="3"/>
      <c r="N8" s="3"/>
    </row>
    <row r="9" spans="1:14" ht="29.4" customHeight="1">
      <c r="A9" s="11">
        <f t="shared" si="0"/>
        <v>4</v>
      </c>
      <c r="B9" s="58"/>
      <c r="C9" s="49"/>
      <c r="D9" s="49"/>
      <c r="E9" s="29" t="s">
        <v>30</v>
      </c>
      <c r="F9" s="49"/>
      <c r="G9" s="4" t="s">
        <v>140</v>
      </c>
      <c r="H9" s="3"/>
      <c r="I9" s="6"/>
      <c r="J9" s="5"/>
      <c r="K9" s="5"/>
      <c r="L9" s="3"/>
      <c r="M9" s="3"/>
      <c r="N9" s="3"/>
    </row>
    <row r="10" spans="1:14" ht="43.95" customHeight="1">
      <c r="A10" s="11">
        <f t="shared" si="0"/>
        <v>5</v>
      </c>
      <c r="B10" s="58"/>
      <c r="C10" s="49"/>
      <c r="D10" s="49"/>
      <c r="E10" s="3" t="s">
        <v>31</v>
      </c>
      <c r="F10" s="49"/>
      <c r="G10" s="4" t="s">
        <v>141</v>
      </c>
      <c r="H10" s="3"/>
      <c r="I10" s="6"/>
      <c r="J10" s="5"/>
      <c r="K10" s="5"/>
      <c r="L10" s="3"/>
      <c r="M10" s="3"/>
      <c r="N10" s="3"/>
    </row>
    <row r="11" spans="1:14" ht="31.95" customHeight="1">
      <c r="A11" s="11">
        <f t="shared" si="0"/>
        <v>6</v>
      </c>
      <c r="B11" s="58"/>
      <c r="C11" s="49"/>
      <c r="D11" s="50"/>
      <c r="E11" s="3" t="s">
        <v>32</v>
      </c>
      <c r="F11" s="49"/>
      <c r="G11" s="4" t="s">
        <v>178</v>
      </c>
      <c r="H11" s="22"/>
      <c r="I11" s="6"/>
      <c r="J11" s="5"/>
      <c r="K11" s="5"/>
      <c r="L11" s="22"/>
      <c r="M11" s="22"/>
      <c r="N11" s="22"/>
    </row>
    <row r="12" spans="1:14" s="2" customFormat="1" ht="40.5" customHeight="1">
      <c r="A12" s="11">
        <f t="shared" si="0"/>
        <v>7</v>
      </c>
      <c r="B12" s="58"/>
      <c r="C12" s="49"/>
      <c r="D12" s="48" t="s">
        <v>135</v>
      </c>
      <c r="E12" s="27" t="s">
        <v>33</v>
      </c>
      <c r="F12" s="49"/>
      <c r="G12" s="10" t="s">
        <v>136</v>
      </c>
      <c r="H12" s="12"/>
      <c r="I12" s="6"/>
      <c r="J12" s="5"/>
      <c r="K12" s="5"/>
      <c r="L12" s="12"/>
      <c r="M12" s="12"/>
      <c r="N12" s="12"/>
    </row>
    <row r="13" spans="1:14" ht="46.2" customHeight="1">
      <c r="A13" s="11">
        <f t="shared" si="0"/>
        <v>8</v>
      </c>
      <c r="B13" s="58"/>
      <c r="C13" s="49"/>
      <c r="D13" s="49"/>
      <c r="E13" s="29" t="s">
        <v>29</v>
      </c>
      <c r="F13" s="49"/>
      <c r="G13" s="4" t="s">
        <v>142</v>
      </c>
      <c r="H13" s="7"/>
      <c r="I13" s="6"/>
      <c r="J13" s="5"/>
      <c r="K13" s="5"/>
      <c r="L13" s="3"/>
      <c r="M13" s="3"/>
      <c r="N13" s="3"/>
    </row>
    <row r="14" spans="1:14" ht="29.4" customHeight="1">
      <c r="A14" s="11">
        <f t="shared" si="0"/>
        <v>9</v>
      </c>
      <c r="B14" s="58"/>
      <c r="C14" s="49"/>
      <c r="D14" s="49"/>
      <c r="E14" s="29" t="s">
        <v>30</v>
      </c>
      <c r="F14" s="49"/>
      <c r="G14" s="4" t="s">
        <v>143</v>
      </c>
      <c r="H14" s="3"/>
      <c r="I14" s="6"/>
      <c r="J14" s="5"/>
      <c r="K14" s="5"/>
      <c r="L14" s="3"/>
      <c r="M14" s="3"/>
      <c r="N14" s="3"/>
    </row>
    <row r="15" spans="1:14" ht="43.95" customHeight="1">
      <c r="A15" s="11">
        <f t="shared" si="0"/>
        <v>10</v>
      </c>
      <c r="B15" s="58"/>
      <c r="C15" s="49"/>
      <c r="D15" s="49"/>
      <c r="E15" s="3" t="s">
        <v>31</v>
      </c>
      <c r="F15" s="49"/>
      <c r="G15" s="4" t="s">
        <v>144</v>
      </c>
      <c r="H15" s="3"/>
      <c r="I15" s="6"/>
      <c r="J15" s="5"/>
      <c r="K15" s="5"/>
      <c r="L15" s="3"/>
      <c r="M15" s="3"/>
      <c r="N15" s="3"/>
    </row>
    <row r="16" spans="1:14" ht="31.95" customHeight="1">
      <c r="A16" s="11">
        <f t="shared" si="0"/>
        <v>11</v>
      </c>
      <c r="B16" s="58"/>
      <c r="C16" s="49"/>
      <c r="D16" s="50"/>
      <c r="E16" s="3" t="s">
        <v>32</v>
      </c>
      <c r="F16" s="49"/>
      <c r="G16" s="4" t="s">
        <v>180</v>
      </c>
      <c r="H16" s="22"/>
      <c r="I16" s="6"/>
      <c r="J16" s="5"/>
      <c r="K16" s="5"/>
      <c r="L16" s="22"/>
      <c r="M16" s="22"/>
      <c r="N16" s="22"/>
    </row>
    <row r="17" spans="1:14" s="2" customFormat="1" ht="16.95" customHeight="1">
      <c r="A17" s="11">
        <f t="shared" si="0"/>
        <v>12</v>
      </c>
      <c r="B17" s="58"/>
      <c r="C17" s="49"/>
      <c r="D17" s="23" t="s">
        <v>50</v>
      </c>
      <c r="E17" s="13" t="s">
        <v>26</v>
      </c>
      <c r="F17" s="50"/>
      <c r="G17" s="4" t="s">
        <v>145</v>
      </c>
      <c r="H17" s="12"/>
      <c r="I17" s="6"/>
      <c r="J17" s="5"/>
      <c r="K17" s="5"/>
      <c r="L17" s="12"/>
      <c r="M17" s="12"/>
      <c r="N17" s="12"/>
    </row>
    <row r="18" spans="1:14" ht="18.600000000000001" customHeight="1">
      <c r="A18" s="11">
        <f t="shared" si="0"/>
        <v>13</v>
      </c>
      <c r="B18" s="58"/>
      <c r="C18" s="48" t="s">
        <v>27</v>
      </c>
      <c r="D18" s="48" t="s">
        <v>78</v>
      </c>
      <c r="E18" s="3" t="s">
        <v>26</v>
      </c>
      <c r="F18" s="51" t="s">
        <v>181</v>
      </c>
      <c r="G18" s="4" t="s">
        <v>146</v>
      </c>
      <c r="H18" s="7"/>
      <c r="I18" s="6"/>
      <c r="J18" s="5"/>
      <c r="K18" s="5"/>
      <c r="L18" s="9"/>
      <c r="M18" s="8"/>
      <c r="N18" s="8"/>
    </row>
    <row r="19" spans="1:14" ht="32.4" customHeight="1">
      <c r="A19" s="11">
        <f t="shared" si="0"/>
        <v>14</v>
      </c>
      <c r="B19" s="58"/>
      <c r="C19" s="49"/>
      <c r="D19" s="49"/>
      <c r="E19" s="3" t="s">
        <v>33</v>
      </c>
      <c r="F19" s="53"/>
      <c r="G19" s="4" t="s">
        <v>149</v>
      </c>
      <c r="H19" s="7"/>
      <c r="I19" s="6"/>
      <c r="J19" s="5"/>
      <c r="K19" s="5"/>
      <c r="L19" s="9"/>
      <c r="M19" s="8"/>
      <c r="N19" s="8"/>
    </row>
    <row r="20" spans="1:14">
      <c r="A20" s="11">
        <f t="shared" si="0"/>
        <v>15</v>
      </c>
      <c r="B20" s="58"/>
      <c r="C20" s="49"/>
      <c r="D20" s="49"/>
      <c r="E20" s="25" t="s">
        <v>29</v>
      </c>
      <c r="F20" s="53"/>
      <c r="G20" s="4" t="s">
        <v>139</v>
      </c>
      <c r="H20" s="7"/>
      <c r="I20" s="6"/>
      <c r="J20" s="5"/>
      <c r="K20" s="5"/>
      <c r="L20" s="6"/>
      <c r="M20" s="5"/>
      <c r="N20" s="5"/>
    </row>
    <row r="21" spans="1:14">
      <c r="A21" s="11">
        <f t="shared" si="0"/>
        <v>16</v>
      </c>
      <c r="B21" s="58"/>
      <c r="C21" s="49"/>
      <c r="D21" s="49"/>
      <c r="E21" s="25" t="s">
        <v>30</v>
      </c>
      <c r="F21" s="53"/>
      <c r="G21" s="4" t="s">
        <v>185</v>
      </c>
      <c r="H21" s="7"/>
      <c r="I21" s="6"/>
      <c r="J21" s="5"/>
      <c r="K21" s="5"/>
      <c r="L21" s="3"/>
      <c r="M21" s="3"/>
      <c r="N21" s="3"/>
    </row>
    <row r="22" spans="1:14">
      <c r="A22" s="11">
        <f t="shared" si="0"/>
        <v>17</v>
      </c>
      <c r="B22" s="58"/>
      <c r="C22" s="49"/>
      <c r="D22" s="49"/>
      <c r="E22" s="25" t="s">
        <v>31</v>
      </c>
      <c r="F22" s="53"/>
      <c r="G22" s="4" t="s">
        <v>150</v>
      </c>
      <c r="H22" s="7"/>
      <c r="I22" s="6"/>
      <c r="J22" s="5"/>
      <c r="K22" s="5"/>
      <c r="L22" s="3"/>
      <c r="M22" s="3"/>
      <c r="N22" s="3"/>
    </row>
    <row r="23" spans="1:14" ht="51" customHeight="1">
      <c r="A23" s="11">
        <f t="shared" si="0"/>
        <v>18</v>
      </c>
      <c r="B23" s="58"/>
      <c r="C23" s="49"/>
      <c r="D23" s="49"/>
      <c r="E23" s="26" t="s">
        <v>32</v>
      </c>
      <c r="F23" s="53"/>
      <c r="G23" s="47" t="s">
        <v>122</v>
      </c>
      <c r="H23" s="7"/>
      <c r="I23" s="6"/>
      <c r="J23" s="5"/>
      <c r="K23" s="5"/>
      <c r="L23" s="3"/>
      <c r="M23" s="3"/>
      <c r="N23" s="3"/>
    </row>
    <row r="24" spans="1:14" ht="42.6" customHeight="1">
      <c r="A24" s="11">
        <f t="shared" si="0"/>
        <v>19</v>
      </c>
      <c r="B24" s="58"/>
      <c r="C24" s="49"/>
      <c r="D24" s="54" t="s">
        <v>80</v>
      </c>
      <c r="E24" s="3" t="s">
        <v>33</v>
      </c>
      <c r="F24" s="51" t="s">
        <v>182</v>
      </c>
      <c r="G24" s="4" t="s">
        <v>43</v>
      </c>
      <c r="H24" s="3"/>
      <c r="I24" s="6"/>
      <c r="J24" s="5"/>
      <c r="K24" s="5"/>
      <c r="L24" s="3"/>
      <c r="M24" s="3"/>
      <c r="N24" s="3"/>
    </row>
    <row r="25" spans="1:14" ht="43.2" customHeight="1">
      <c r="A25" s="11">
        <f t="shared" si="0"/>
        <v>20</v>
      </c>
      <c r="B25" s="58"/>
      <c r="C25" s="49"/>
      <c r="D25" s="55"/>
      <c r="E25" s="25" t="s">
        <v>29</v>
      </c>
      <c r="F25" s="53"/>
      <c r="G25" s="4" t="s">
        <v>151</v>
      </c>
      <c r="H25" s="3"/>
      <c r="I25" s="6"/>
      <c r="J25" s="5"/>
      <c r="K25" s="5"/>
      <c r="L25" s="3"/>
      <c r="M25" s="3"/>
      <c r="N25" s="3"/>
    </row>
    <row r="26" spans="1:14" ht="16.95" customHeight="1">
      <c r="A26" s="11">
        <f t="shared" si="0"/>
        <v>21</v>
      </c>
      <c r="B26" s="58"/>
      <c r="C26" s="49"/>
      <c r="D26" s="55"/>
      <c r="E26" s="25" t="s">
        <v>30</v>
      </c>
      <c r="F26" s="53"/>
      <c r="G26" s="4" t="s">
        <v>185</v>
      </c>
      <c r="H26" s="3"/>
      <c r="I26" s="6"/>
      <c r="J26" s="5"/>
      <c r="K26" s="5"/>
      <c r="L26" s="3"/>
      <c r="M26" s="3"/>
      <c r="N26" s="3"/>
    </row>
    <row r="27" spans="1:14" ht="31.95" customHeight="1">
      <c r="A27" s="11">
        <f t="shared" si="0"/>
        <v>22</v>
      </c>
      <c r="B27" s="58"/>
      <c r="C27" s="49"/>
      <c r="D27" s="55"/>
      <c r="E27" s="25" t="s">
        <v>31</v>
      </c>
      <c r="F27" s="53"/>
      <c r="G27" s="4" t="s">
        <v>152</v>
      </c>
      <c r="H27" s="3"/>
      <c r="I27" s="6"/>
      <c r="J27" s="5"/>
      <c r="K27" s="5"/>
      <c r="L27" s="3"/>
      <c r="M27" s="3"/>
      <c r="N27" s="3"/>
    </row>
    <row r="28" spans="1:14" ht="42" customHeight="1">
      <c r="A28" s="11">
        <f t="shared" si="0"/>
        <v>23</v>
      </c>
      <c r="B28" s="58"/>
      <c r="C28" s="49"/>
      <c r="D28" s="55"/>
      <c r="E28" s="26" t="s">
        <v>32</v>
      </c>
      <c r="F28" s="53"/>
      <c r="G28" s="47" t="s">
        <v>122</v>
      </c>
      <c r="H28" s="3"/>
      <c r="I28" s="6"/>
      <c r="J28" s="5"/>
      <c r="K28" s="5"/>
      <c r="L28" s="3"/>
      <c r="M28" s="3"/>
      <c r="N28" s="3"/>
    </row>
    <row r="29" spans="1:14" ht="42.6" customHeight="1">
      <c r="A29" s="11">
        <f t="shared" si="0"/>
        <v>24</v>
      </c>
      <c r="B29" s="58"/>
      <c r="C29" s="49"/>
      <c r="D29" s="29" t="s">
        <v>153</v>
      </c>
      <c r="E29" s="3" t="s">
        <v>30</v>
      </c>
      <c r="F29" s="25" t="s">
        <v>154</v>
      </c>
      <c r="G29" s="4" t="s">
        <v>184</v>
      </c>
      <c r="H29" s="3"/>
      <c r="I29" s="6"/>
      <c r="J29" s="5"/>
      <c r="K29" s="5"/>
      <c r="L29" s="3"/>
      <c r="M29" s="3"/>
      <c r="N29" s="3"/>
    </row>
    <row r="30" spans="1:14" ht="42.6" customHeight="1">
      <c r="A30" s="11"/>
      <c r="B30" s="58"/>
      <c r="C30" s="45"/>
      <c r="D30" s="29"/>
      <c r="E30" s="22"/>
      <c r="F30" s="25" t="s">
        <v>183</v>
      </c>
      <c r="G30" s="4" t="s">
        <v>155</v>
      </c>
      <c r="H30" s="3"/>
      <c r="I30" s="6"/>
      <c r="J30" s="5"/>
      <c r="K30" s="5"/>
      <c r="L30" s="3"/>
      <c r="M30" s="3"/>
      <c r="N30" s="3"/>
    </row>
    <row r="31" spans="1:14" ht="34.950000000000003" customHeight="1">
      <c r="A31" s="11">
        <f t="shared" si="0"/>
        <v>26</v>
      </c>
      <c r="B31" s="58"/>
      <c r="C31" s="51" t="s">
        <v>83</v>
      </c>
      <c r="D31" s="51" t="s">
        <v>95</v>
      </c>
      <c r="E31" s="22" t="s">
        <v>26</v>
      </c>
      <c r="F31" s="51" t="s">
        <v>147</v>
      </c>
      <c r="G31" s="4" t="s">
        <v>156</v>
      </c>
      <c r="H31" s="3"/>
      <c r="I31" s="6"/>
      <c r="J31" s="5"/>
      <c r="K31" s="5"/>
      <c r="L31" s="3"/>
      <c r="M31" s="3"/>
      <c r="N31" s="3"/>
    </row>
    <row r="32" spans="1:14" ht="30.75" customHeight="1">
      <c r="A32" s="11">
        <f t="shared" si="0"/>
        <v>27</v>
      </c>
      <c r="B32" s="58"/>
      <c r="C32" s="53"/>
      <c r="D32" s="53"/>
      <c r="E32" s="22" t="s">
        <v>33</v>
      </c>
      <c r="F32" s="53"/>
      <c r="G32" s="4" t="s">
        <v>157</v>
      </c>
      <c r="H32" s="3"/>
      <c r="I32" s="6"/>
      <c r="J32" s="5"/>
      <c r="K32" s="5"/>
      <c r="L32" s="3"/>
      <c r="M32" s="3"/>
      <c r="N32" s="3"/>
    </row>
    <row r="33" spans="1:15" ht="31.95" customHeight="1">
      <c r="A33" s="11">
        <f t="shared" si="0"/>
        <v>28</v>
      </c>
      <c r="B33" s="58"/>
      <c r="C33" s="53"/>
      <c r="D33" s="53"/>
      <c r="E33" s="44" t="s">
        <v>92</v>
      </c>
      <c r="F33" s="53"/>
      <c r="G33" s="4" t="s">
        <v>97</v>
      </c>
      <c r="H33" s="3"/>
      <c r="I33" s="6"/>
      <c r="J33" s="5"/>
      <c r="K33" s="5"/>
      <c r="L33" s="3"/>
      <c r="M33" s="3"/>
      <c r="N33" s="3"/>
    </row>
    <row r="34" spans="1:15" ht="146.25" customHeight="1">
      <c r="A34" s="11">
        <f t="shared" si="0"/>
        <v>29</v>
      </c>
      <c r="B34" s="58"/>
      <c r="C34" s="26" t="s">
        <v>46</v>
      </c>
      <c r="D34" s="26" t="s">
        <v>44</v>
      </c>
      <c r="E34" s="26" t="s">
        <v>29</v>
      </c>
      <c r="F34" s="3" t="s">
        <v>45</v>
      </c>
      <c r="G34" s="4" t="s">
        <v>158</v>
      </c>
      <c r="H34" s="3"/>
      <c r="I34" s="6"/>
      <c r="J34" s="5"/>
      <c r="K34" s="5"/>
      <c r="L34" s="3"/>
      <c r="M34" s="3"/>
      <c r="N34" s="3"/>
    </row>
    <row r="35" spans="1:15" ht="26.4">
      <c r="A35" s="11">
        <f t="shared" si="0"/>
        <v>30</v>
      </c>
      <c r="B35" s="58"/>
      <c r="C35" s="25" t="s">
        <v>17</v>
      </c>
      <c r="D35" s="25" t="s">
        <v>76</v>
      </c>
      <c r="E35" s="25" t="s">
        <v>47</v>
      </c>
      <c r="F35" s="25" t="s">
        <v>159</v>
      </c>
      <c r="G35" s="30" t="s">
        <v>49</v>
      </c>
      <c r="H35" s="25"/>
      <c r="I35" s="31"/>
      <c r="J35" s="32"/>
      <c r="K35" s="32"/>
      <c r="L35" s="25"/>
      <c r="M35" s="25"/>
      <c r="N35" s="25"/>
    </row>
    <row r="36" spans="1:15">
      <c r="A36" s="38"/>
      <c r="B36" s="39"/>
      <c r="C36" s="40"/>
      <c r="D36" s="40"/>
      <c r="E36" s="40"/>
      <c r="F36" s="40"/>
      <c r="G36" s="41"/>
      <c r="H36" s="40"/>
      <c r="I36" s="42"/>
      <c r="J36" s="43"/>
      <c r="K36" s="43"/>
      <c r="L36" s="40"/>
      <c r="M36" s="40"/>
      <c r="N36" s="40"/>
      <c r="O36" s="40"/>
    </row>
    <row r="37" spans="1:15">
      <c r="A37" s="33"/>
      <c r="B37" s="34"/>
      <c r="G37" s="35"/>
      <c r="I37" s="36"/>
      <c r="J37" s="37"/>
      <c r="K37" s="37"/>
    </row>
    <row r="38" spans="1:15">
      <c r="A38" s="33"/>
      <c r="B38" s="34"/>
      <c r="G38" s="35"/>
      <c r="I38" s="36"/>
      <c r="J38" s="37"/>
      <c r="K38" s="37"/>
    </row>
    <row r="39" spans="1:15">
      <c r="A39" s="33"/>
      <c r="B39" s="34"/>
      <c r="G39" s="35"/>
      <c r="I39" s="36"/>
      <c r="J39" s="37"/>
      <c r="K39" s="37"/>
    </row>
    <row r="40" spans="1:15">
      <c r="A40" s="33"/>
      <c r="B40" s="34"/>
      <c r="G40" s="35"/>
      <c r="I40" s="36"/>
      <c r="J40" s="37"/>
      <c r="K40" s="37"/>
    </row>
    <row r="41" spans="1:15">
      <c r="A41" s="33"/>
      <c r="B41" s="34"/>
      <c r="G41" s="35"/>
      <c r="I41" s="36"/>
      <c r="J41" s="37"/>
      <c r="K41" s="37"/>
    </row>
    <row r="42" spans="1:15">
      <c r="A42" s="33"/>
      <c r="B42" s="34"/>
      <c r="G42" s="35"/>
      <c r="I42" s="36"/>
      <c r="J42" s="37"/>
      <c r="K42" s="37"/>
    </row>
    <row r="46" spans="1:15" ht="24" customHeight="1"/>
    <row r="47" spans="1:15" ht="24" customHeight="1"/>
    <row r="48" spans="1:15" ht="24" customHeight="1"/>
    <row r="49" spans="2:14" ht="24" customHeight="1"/>
    <row r="50" spans="2:14" ht="24" customHeight="1"/>
    <row r="51" spans="2:14" ht="24" customHeight="1"/>
    <row r="52" spans="2:14" ht="24" customHeight="1"/>
    <row r="53" spans="2:14" ht="24" customHeight="1"/>
    <row r="54" spans="2:14" s="2" customFormat="1" ht="24" customHeight="1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2:14" s="2" customFormat="1" ht="24" customHeight="1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</sheetData>
  <mergeCells count="14">
    <mergeCell ref="I4:N4"/>
    <mergeCell ref="B6:B35"/>
    <mergeCell ref="C7:C17"/>
    <mergeCell ref="D7:D11"/>
    <mergeCell ref="F7:F17"/>
    <mergeCell ref="D12:D16"/>
    <mergeCell ref="D18:D23"/>
    <mergeCell ref="F18:F23"/>
    <mergeCell ref="C18:C29"/>
    <mergeCell ref="D24:D28"/>
    <mergeCell ref="F24:F28"/>
    <mergeCell ref="C31:C33"/>
    <mergeCell ref="D31:D33"/>
    <mergeCell ref="F31:F33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2B107-AC0E-47CF-B6F2-ABC114859C72}">
  <dimension ref="A1:N34"/>
  <sheetViews>
    <sheetView tabSelected="1" topLeftCell="A24" zoomScaleNormal="100" workbookViewId="0">
      <selection activeCell="A30" sqref="A30"/>
    </sheetView>
    <sheetView topLeftCell="A13" workbookViewId="1"/>
  </sheetViews>
  <sheetFormatPr defaultColWidth="13" defaultRowHeight="13.2"/>
  <cols>
    <col min="1" max="1" width="4.69921875" style="2" customWidth="1"/>
    <col min="2" max="2" width="17.69921875" style="1" customWidth="1"/>
    <col min="3" max="4" width="27.3984375" style="1" customWidth="1"/>
    <col min="5" max="5" width="21" style="1" customWidth="1"/>
    <col min="6" max="6" width="45.09765625" style="1" customWidth="1"/>
    <col min="7" max="7" width="37.5" style="1" customWidth="1"/>
    <col min="8" max="8" width="25" style="1" customWidth="1"/>
    <col min="9" max="14" width="10.59765625" style="1" customWidth="1"/>
    <col min="15" max="16384" width="13" style="1"/>
  </cols>
  <sheetData>
    <row r="1" spans="1:14" ht="43.95" customHeight="1">
      <c r="B1" s="1" t="s">
        <v>19</v>
      </c>
      <c r="C1" s="1" t="s">
        <v>51</v>
      </c>
    </row>
    <row r="2" spans="1:14">
      <c r="B2" s="21"/>
      <c r="C2" s="21"/>
      <c r="D2" s="21"/>
    </row>
    <row r="3" spans="1:14">
      <c r="B3" s="21"/>
      <c r="C3" s="21"/>
      <c r="D3" s="21"/>
    </row>
    <row r="4" spans="1:14" s="2" customFormat="1">
      <c r="A4" s="20"/>
      <c r="B4" s="19"/>
      <c r="C4" s="19"/>
      <c r="D4" s="19"/>
      <c r="E4" s="19"/>
      <c r="F4" s="18"/>
      <c r="G4" s="18"/>
      <c r="H4" s="18"/>
      <c r="I4" s="60"/>
      <c r="J4" s="60"/>
      <c r="K4" s="60"/>
      <c r="L4" s="60"/>
      <c r="M4" s="60"/>
      <c r="N4" s="60"/>
    </row>
    <row r="5" spans="1:14" s="2" customFormat="1">
      <c r="A5" s="17" t="s">
        <v>0</v>
      </c>
      <c r="B5" s="16" t="s">
        <v>13</v>
      </c>
      <c r="C5" s="16" t="s">
        <v>12</v>
      </c>
      <c r="D5" s="16" t="s">
        <v>11</v>
      </c>
      <c r="E5" s="16" t="s">
        <v>10</v>
      </c>
      <c r="F5" s="15" t="s">
        <v>9</v>
      </c>
      <c r="G5" s="15" t="s">
        <v>8</v>
      </c>
      <c r="H5" s="15" t="s">
        <v>7</v>
      </c>
      <c r="I5" s="14" t="s">
        <v>6</v>
      </c>
      <c r="J5" s="14" t="s">
        <v>5</v>
      </c>
      <c r="K5" s="14" t="s">
        <v>4</v>
      </c>
      <c r="L5" s="14" t="s">
        <v>3</v>
      </c>
      <c r="M5" s="14" t="s">
        <v>2</v>
      </c>
      <c r="N5" s="14" t="s">
        <v>1</v>
      </c>
    </row>
    <row r="6" spans="1:14" s="2" customFormat="1" ht="26.4" customHeight="1">
      <c r="A6" s="11">
        <f t="shared" ref="A6:A22" si="0">ROW()-5</f>
        <v>1</v>
      </c>
      <c r="B6" s="57" t="s">
        <v>77</v>
      </c>
      <c r="C6" s="13" t="s">
        <v>15</v>
      </c>
      <c r="D6" s="13" t="s">
        <v>20</v>
      </c>
      <c r="E6" s="13" t="s">
        <v>16</v>
      </c>
      <c r="F6" s="4" t="s">
        <v>21</v>
      </c>
      <c r="G6" s="4" t="s">
        <v>22</v>
      </c>
      <c r="H6" s="12"/>
      <c r="I6" s="6"/>
      <c r="J6" s="5"/>
      <c r="K6" s="5"/>
      <c r="L6" s="12"/>
      <c r="M6" s="12"/>
      <c r="N6" s="12"/>
    </row>
    <row r="7" spans="1:14" s="2" customFormat="1" ht="26.4">
      <c r="A7" s="11">
        <f t="shared" si="0"/>
        <v>2</v>
      </c>
      <c r="B7" s="58"/>
      <c r="C7" s="48" t="s">
        <v>14</v>
      </c>
      <c r="D7" s="48" t="s">
        <v>57</v>
      </c>
      <c r="E7" s="13" t="s">
        <v>52</v>
      </c>
      <c r="F7" s="57" t="s">
        <v>53</v>
      </c>
      <c r="G7" s="10" t="s">
        <v>129</v>
      </c>
      <c r="H7" s="12"/>
      <c r="I7" s="6"/>
      <c r="J7" s="5"/>
      <c r="K7" s="5"/>
      <c r="L7" s="12"/>
      <c r="M7" s="12"/>
      <c r="N7" s="12"/>
    </row>
    <row r="8" spans="1:14" ht="33.6" customHeight="1">
      <c r="A8" s="11">
        <f t="shared" si="0"/>
        <v>3</v>
      </c>
      <c r="B8" s="58"/>
      <c r="C8" s="49"/>
      <c r="D8" s="49"/>
      <c r="E8" s="51" t="s">
        <v>56</v>
      </c>
      <c r="F8" s="58"/>
      <c r="G8" s="4" t="s">
        <v>54</v>
      </c>
      <c r="H8" s="7"/>
      <c r="I8" s="6"/>
      <c r="J8" s="5"/>
      <c r="K8" s="5"/>
      <c r="L8" s="3"/>
      <c r="M8" s="3"/>
      <c r="N8" s="3"/>
    </row>
    <row r="9" spans="1:14" ht="46.2" customHeight="1">
      <c r="A9" s="11">
        <f t="shared" si="0"/>
        <v>4</v>
      </c>
      <c r="B9" s="58"/>
      <c r="C9" s="49"/>
      <c r="D9" s="50"/>
      <c r="E9" s="52"/>
      <c r="F9" s="58"/>
      <c r="G9" s="4" t="s">
        <v>55</v>
      </c>
      <c r="H9" s="7"/>
      <c r="I9" s="6"/>
      <c r="J9" s="5"/>
      <c r="K9" s="5"/>
      <c r="L9" s="3"/>
      <c r="M9" s="3"/>
      <c r="N9" s="3"/>
    </row>
    <row r="10" spans="1:14" ht="15.6" customHeight="1">
      <c r="A10" s="11">
        <f t="shared" si="0"/>
        <v>5</v>
      </c>
      <c r="B10" s="58"/>
      <c r="C10" s="49"/>
      <c r="D10" s="48" t="s">
        <v>58</v>
      </c>
      <c r="E10" s="3" t="s">
        <v>59</v>
      </c>
      <c r="F10" s="58"/>
      <c r="G10" s="4" t="s">
        <v>23</v>
      </c>
      <c r="H10" s="3"/>
      <c r="I10" s="6"/>
      <c r="J10" s="5"/>
      <c r="K10" s="5"/>
      <c r="L10" s="3"/>
      <c r="M10" s="3"/>
      <c r="N10" s="3"/>
    </row>
    <row r="11" spans="1:14">
      <c r="A11" s="11">
        <f t="shared" si="0"/>
        <v>6</v>
      </c>
      <c r="B11" s="58"/>
      <c r="C11" s="49"/>
      <c r="D11" s="49"/>
      <c r="E11" s="3" t="s">
        <v>60</v>
      </c>
      <c r="F11" s="59"/>
      <c r="G11" s="4" t="s">
        <v>23</v>
      </c>
      <c r="H11" s="3"/>
      <c r="I11" s="6"/>
      <c r="J11" s="5"/>
      <c r="K11" s="5"/>
      <c r="L11" s="3"/>
      <c r="M11" s="3"/>
      <c r="N11" s="3"/>
    </row>
    <row r="12" spans="1:14" ht="36" customHeight="1">
      <c r="A12" s="11">
        <f t="shared" si="0"/>
        <v>7</v>
      </c>
      <c r="B12" s="58"/>
      <c r="C12" s="57" t="s">
        <v>24</v>
      </c>
      <c r="D12" s="48" t="s">
        <v>70</v>
      </c>
      <c r="E12" s="51" t="s">
        <v>56</v>
      </c>
      <c r="F12" s="3" t="s">
        <v>63</v>
      </c>
      <c r="G12" s="4" t="s">
        <v>61</v>
      </c>
      <c r="H12" s="7"/>
      <c r="I12" s="6"/>
      <c r="J12" s="5"/>
      <c r="K12" s="5"/>
      <c r="L12" s="9"/>
      <c r="M12" s="8"/>
      <c r="N12" s="8"/>
    </row>
    <row r="13" spans="1:14" ht="32.4" customHeight="1">
      <c r="A13" s="11">
        <f t="shared" si="0"/>
        <v>8</v>
      </c>
      <c r="B13" s="58"/>
      <c r="C13" s="58"/>
      <c r="D13" s="49"/>
      <c r="E13" s="53"/>
      <c r="F13" s="3" t="s">
        <v>64</v>
      </c>
      <c r="G13" s="4" t="s">
        <v>62</v>
      </c>
      <c r="H13" s="7"/>
      <c r="I13" s="6"/>
      <c r="J13" s="5"/>
      <c r="K13" s="5"/>
      <c r="L13" s="6"/>
      <c r="M13" s="5"/>
      <c r="N13" s="5"/>
    </row>
    <row r="14" spans="1:14" ht="34.950000000000003" customHeight="1">
      <c r="A14" s="11">
        <f t="shared" si="0"/>
        <v>9</v>
      </c>
      <c r="B14" s="58"/>
      <c r="C14" s="58"/>
      <c r="D14" s="49"/>
      <c r="E14" s="52"/>
      <c r="F14" s="3" t="s">
        <v>65</v>
      </c>
      <c r="G14" s="4" t="s">
        <v>66</v>
      </c>
      <c r="H14" s="7"/>
      <c r="I14" s="6"/>
      <c r="J14" s="5"/>
      <c r="K14" s="5"/>
      <c r="L14" s="3"/>
      <c r="M14" s="3"/>
      <c r="N14" s="3"/>
    </row>
    <row r="15" spans="1:14" ht="33" customHeight="1">
      <c r="A15" s="11">
        <f t="shared" si="0"/>
        <v>10</v>
      </c>
      <c r="B15" s="58"/>
      <c r="C15" s="58"/>
      <c r="D15" s="49"/>
      <c r="E15" s="3" t="s">
        <v>107</v>
      </c>
      <c r="F15" s="51" t="s">
        <v>111</v>
      </c>
      <c r="G15" s="4" t="s">
        <v>108</v>
      </c>
      <c r="H15" s="7"/>
      <c r="I15" s="6"/>
      <c r="J15" s="5"/>
      <c r="K15" s="5"/>
      <c r="L15" s="3"/>
      <c r="M15" s="3"/>
      <c r="N15" s="3"/>
    </row>
    <row r="16" spans="1:14" ht="45.6" customHeight="1">
      <c r="A16" s="11">
        <f t="shared" si="0"/>
        <v>11</v>
      </c>
      <c r="B16" s="58"/>
      <c r="C16" s="59"/>
      <c r="D16" s="50"/>
      <c r="E16" s="25" t="s">
        <v>109</v>
      </c>
      <c r="F16" s="52"/>
      <c r="G16" s="4" t="s">
        <v>110</v>
      </c>
      <c r="H16" s="7"/>
      <c r="I16" s="6"/>
      <c r="J16" s="5"/>
      <c r="K16" s="5"/>
      <c r="L16" s="3"/>
      <c r="M16" s="3"/>
      <c r="N16" s="3"/>
    </row>
    <row r="17" spans="1:14" ht="34.950000000000003" customHeight="1">
      <c r="A17" s="11">
        <f t="shared" si="0"/>
        <v>12</v>
      </c>
      <c r="B17" s="58"/>
      <c r="C17" s="51" t="s">
        <v>68</v>
      </c>
      <c r="D17" s="54" t="s">
        <v>69</v>
      </c>
      <c r="E17" s="25" t="s">
        <v>56</v>
      </c>
      <c r="F17" s="3" t="s">
        <v>113</v>
      </c>
      <c r="G17" s="4" t="s">
        <v>67</v>
      </c>
      <c r="H17" s="3"/>
      <c r="I17" s="6"/>
      <c r="J17" s="5"/>
      <c r="K17" s="5"/>
      <c r="L17" s="3"/>
      <c r="M17" s="3"/>
      <c r="N17" s="3"/>
    </row>
    <row r="18" spans="1:14" ht="34.950000000000003" customHeight="1">
      <c r="A18" s="11">
        <f t="shared" si="0"/>
        <v>13</v>
      </c>
      <c r="B18" s="58"/>
      <c r="C18" s="53"/>
      <c r="D18" s="55"/>
      <c r="E18" s="3" t="s">
        <v>107</v>
      </c>
      <c r="F18" s="51" t="s">
        <v>112</v>
      </c>
      <c r="G18" s="4" t="s">
        <v>114</v>
      </c>
      <c r="H18" s="3"/>
      <c r="I18" s="6"/>
      <c r="J18" s="5"/>
      <c r="K18" s="5"/>
      <c r="L18" s="3"/>
      <c r="M18" s="3"/>
      <c r="N18" s="3"/>
    </row>
    <row r="19" spans="1:14" ht="47.4" customHeight="1">
      <c r="A19" s="11">
        <f t="shared" si="0"/>
        <v>14</v>
      </c>
      <c r="B19" s="58"/>
      <c r="C19" s="52"/>
      <c r="D19" s="55"/>
      <c r="E19" s="3" t="s">
        <v>109</v>
      </c>
      <c r="F19" s="52"/>
      <c r="G19" s="4" t="s">
        <v>115</v>
      </c>
      <c r="H19" s="3"/>
      <c r="I19" s="6"/>
      <c r="J19" s="5"/>
      <c r="K19" s="5"/>
      <c r="L19" s="3"/>
      <c r="M19" s="3"/>
      <c r="N19" s="3"/>
    </row>
    <row r="20" spans="1:14" ht="32.4" customHeight="1">
      <c r="A20" s="11">
        <f t="shared" si="0"/>
        <v>15</v>
      </c>
      <c r="B20" s="58"/>
      <c r="C20" s="51" t="s">
        <v>71</v>
      </c>
      <c r="D20" s="54" t="s">
        <v>72</v>
      </c>
      <c r="E20" s="3" t="s">
        <v>107</v>
      </c>
      <c r="F20" s="51" t="s">
        <v>124</v>
      </c>
      <c r="G20" s="4" t="s">
        <v>123</v>
      </c>
      <c r="H20" s="3"/>
      <c r="I20" s="6"/>
      <c r="J20" s="5"/>
      <c r="K20" s="5"/>
      <c r="L20" s="3"/>
      <c r="M20" s="3"/>
      <c r="N20" s="3"/>
    </row>
    <row r="21" spans="1:14" ht="45" customHeight="1">
      <c r="A21" s="11">
        <f t="shared" si="0"/>
        <v>16</v>
      </c>
      <c r="B21" s="58"/>
      <c r="C21" s="52"/>
      <c r="D21" s="56"/>
      <c r="E21" s="25" t="s">
        <v>126</v>
      </c>
      <c r="F21" s="52"/>
      <c r="G21" s="4" t="s">
        <v>125</v>
      </c>
      <c r="H21" s="3"/>
      <c r="I21" s="6"/>
      <c r="J21" s="5"/>
      <c r="K21" s="5"/>
      <c r="L21" s="3"/>
      <c r="M21" s="3"/>
      <c r="N21" s="3"/>
    </row>
    <row r="22" spans="1:14" ht="29.4" customHeight="1">
      <c r="A22" s="11">
        <f t="shared" si="0"/>
        <v>17</v>
      </c>
      <c r="B22" s="59"/>
      <c r="C22" s="26" t="s">
        <v>17</v>
      </c>
      <c r="D22" s="26" t="s">
        <v>73</v>
      </c>
      <c r="E22" s="26" t="s">
        <v>74</v>
      </c>
      <c r="F22" s="3" t="s">
        <v>18</v>
      </c>
      <c r="G22" s="4" t="s">
        <v>75</v>
      </c>
      <c r="H22" s="3"/>
      <c r="I22" s="6"/>
      <c r="J22" s="5"/>
      <c r="K22" s="5"/>
      <c r="L22" s="3"/>
      <c r="M22" s="3"/>
      <c r="N22" s="3"/>
    </row>
    <row r="25" spans="1:14" ht="24" customHeight="1"/>
    <row r="26" spans="1:14" ht="24" customHeight="1"/>
    <row r="27" spans="1:14" ht="24" customHeight="1"/>
    <row r="28" spans="1:14" ht="24" customHeight="1"/>
    <row r="29" spans="1:14" ht="24" customHeight="1"/>
    <row r="30" spans="1:14" ht="24" customHeight="1"/>
    <row r="31" spans="1:14" ht="24" customHeight="1"/>
    <row r="32" spans="1:14" ht="24" customHeight="1"/>
    <row r="33" spans="2:14" s="2" customFormat="1" ht="24" customHeigh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2:14" s="2" customFormat="1" ht="24" customHeight="1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</sheetData>
  <mergeCells count="17">
    <mergeCell ref="B6:B22"/>
    <mergeCell ref="C17:C19"/>
    <mergeCell ref="D17:D19"/>
    <mergeCell ref="I4:N4"/>
    <mergeCell ref="C7:C11"/>
    <mergeCell ref="D10:D11"/>
    <mergeCell ref="E8:E9"/>
    <mergeCell ref="D7:D9"/>
    <mergeCell ref="F7:F11"/>
    <mergeCell ref="F20:F21"/>
    <mergeCell ref="D20:D21"/>
    <mergeCell ref="C20:C21"/>
    <mergeCell ref="E12:E14"/>
    <mergeCell ref="F15:F16"/>
    <mergeCell ref="D12:D16"/>
    <mergeCell ref="C12:C16"/>
    <mergeCell ref="F18:F19"/>
  </mergeCells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384E7-1A60-4B41-BDD5-263A39FEFA56}">
  <dimension ref="A1:N33"/>
  <sheetViews>
    <sheetView zoomScaleNormal="100" workbookViewId="0"/>
    <sheetView topLeftCell="A12" workbookViewId="1">
      <selection activeCell="F19" sqref="F19:F20"/>
    </sheetView>
  </sheetViews>
  <sheetFormatPr defaultColWidth="13" defaultRowHeight="13.2"/>
  <cols>
    <col min="1" max="1" width="4.69921875" style="2" customWidth="1"/>
    <col min="2" max="2" width="17.69921875" style="1" customWidth="1"/>
    <col min="3" max="4" width="27.3984375" style="1" customWidth="1"/>
    <col min="5" max="5" width="21" style="1" customWidth="1"/>
    <col min="6" max="6" width="45.09765625" style="1" customWidth="1"/>
    <col min="7" max="7" width="37.5" style="1" customWidth="1"/>
    <col min="8" max="8" width="25" style="1" customWidth="1"/>
    <col min="9" max="14" width="10.59765625" style="1" customWidth="1"/>
    <col min="15" max="16384" width="13" style="1"/>
  </cols>
  <sheetData>
    <row r="1" spans="1:14" ht="43.95" customHeight="1">
      <c r="B1" s="1" t="s">
        <v>19</v>
      </c>
      <c r="C1" s="1" t="s">
        <v>167</v>
      </c>
    </row>
    <row r="2" spans="1:14">
      <c r="B2" s="21"/>
      <c r="C2" s="21"/>
      <c r="D2" s="21"/>
    </row>
    <row r="3" spans="1:14">
      <c r="B3" s="21"/>
      <c r="C3" s="21"/>
      <c r="D3" s="21"/>
    </row>
    <row r="4" spans="1:14" s="2" customFormat="1">
      <c r="A4" s="20"/>
      <c r="B4" s="19"/>
      <c r="C4" s="19"/>
      <c r="D4" s="19"/>
      <c r="E4" s="19"/>
      <c r="F4" s="18"/>
      <c r="G4" s="18"/>
      <c r="H4" s="18"/>
      <c r="I4" s="60"/>
      <c r="J4" s="60"/>
      <c r="K4" s="60"/>
      <c r="L4" s="60"/>
      <c r="M4" s="60"/>
      <c r="N4" s="60"/>
    </row>
    <row r="5" spans="1:14" s="2" customFormat="1">
      <c r="A5" s="17" t="s">
        <v>0</v>
      </c>
      <c r="B5" s="16" t="s">
        <v>13</v>
      </c>
      <c r="C5" s="16" t="s">
        <v>12</v>
      </c>
      <c r="D5" s="16" t="s">
        <v>11</v>
      </c>
      <c r="E5" s="16" t="s">
        <v>10</v>
      </c>
      <c r="F5" s="15" t="s">
        <v>9</v>
      </c>
      <c r="G5" s="15" t="s">
        <v>8</v>
      </c>
      <c r="H5" s="15" t="s">
        <v>7</v>
      </c>
      <c r="I5" s="14" t="s">
        <v>6</v>
      </c>
      <c r="J5" s="14" t="s">
        <v>5</v>
      </c>
      <c r="K5" s="14" t="s">
        <v>4</v>
      </c>
      <c r="L5" s="14" t="s">
        <v>3</v>
      </c>
      <c r="M5" s="14" t="s">
        <v>2</v>
      </c>
      <c r="N5" s="14" t="s">
        <v>1</v>
      </c>
    </row>
    <row r="6" spans="1:14" s="2" customFormat="1" ht="26.4">
      <c r="A6" s="11">
        <f t="shared" ref="A6:A21" si="0">ROW()-5</f>
        <v>1</v>
      </c>
      <c r="B6" s="57" t="s">
        <v>77</v>
      </c>
      <c r="C6" s="13" t="s">
        <v>15</v>
      </c>
      <c r="D6" s="13" t="s">
        <v>20</v>
      </c>
      <c r="E6" s="13" t="s">
        <v>16</v>
      </c>
      <c r="F6" s="4" t="s">
        <v>21</v>
      </c>
      <c r="G6" s="4" t="s">
        <v>22</v>
      </c>
      <c r="H6" s="12"/>
      <c r="I6" s="6"/>
      <c r="J6" s="5"/>
      <c r="K6" s="5"/>
      <c r="L6" s="12"/>
      <c r="M6" s="12"/>
      <c r="N6" s="12"/>
    </row>
    <row r="7" spans="1:14" s="2" customFormat="1" ht="26.4">
      <c r="A7" s="11">
        <f t="shared" si="0"/>
        <v>2</v>
      </c>
      <c r="B7" s="58"/>
      <c r="C7" s="48" t="s">
        <v>14</v>
      </c>
      <c r="D7" s="48" t="s">
        <v>57</v>
      </c>
      <c r="E7" s="13" t="s">
        <v>52</v>
      </c>
      <c r="F7" s="57" t="s">
        <v>168</v>
      </c>
      <c r="G7" s="10" t="s">
        <v>142</v>
      </c>
      <c r="H7" s="12"/>
      <c r="I7" s="6"/>
      <c r="J7" s="5"/>
      <c r="K7" s="5"/>
      <c r="L7" s="12"/>
      <c r="M7" s="12"/>
      <c r="N7" s="12"/>
    </row>
    <row r="8" spans="1:14" ht="39.6">
      <c r="A8" s="11">
        <f t="shared" si="0"/>
        <v>3</v>
      </c>
      <c r="B8" s="58"/>
      <c r="C8" s="49"/>
      <c r="D8" s="49"/>
      <c r="E8" s="25" t="s">
        <v>56</v>
      </c>
      <c r="F8" s="58"/>
      <c r="G8" s="4" t="s">
        <v>55</v>
      </c>
      <c r="H8" s="7"/>
      <c r="I8" s="6"/>
      <c r="J8" s="5"/>
      <c r="K8" s="5"/>
      <c r="L8" s="3"/>
      <c r="M8" s="3"/>
      <c r="N8" s="3"/>
    </row>
    <row r="9" spans="1:14">
      <c r="A9" s="11">
        <f t="shared" si="0"/>
        <v>4</v>
      </c>
      <c r="B9" s="58"/>
      <c r="C9" s="49"/>
      <c r="D9" s="48" t="s">
        <v>58</v>
      </c>
      <c r="E9" s="3" t="s">
        <v>59</v>
      </c>
      <c r="F9" s="58"/>
      <c r="G9" s="4" t="s">
        <v>23</v>
      </c>
      <c r="H9" s="3"/>
      <c r="I9" s="6"/>
      <c r="J9" s="5"/>
      <c r="K9" s="5"/>
      <c r="L9" s="3"/>
      <c r="M9" s="3"/>
      <c r="N9" s="3"/>
    </row>
    <row r="10" spans="1:14">
      <c r="A10" s="11">
        <f t="shared" si="0"/>
        <v>5</v>
      </c>
      <c r="B10" s="58"/>
      <c r="C10" s="49"/>
      <c r="D10" s="49"/>
      <c r="E10" s="3" t="s">
        <v>60</v>
      </c>
      <c r="F10" s="59"/>
      <c r="G10" s="4" t="s">
        <v>23</v>
      </c>
      <c r="H10" s="3"/>
      <c r="I10" s="6"/>
      <c r="J10" s="5"/>
      <c r="K10" s="5"/>
      <c r="L10" s="3"/>
      <c r="M10" s="3"/>
      <c r="N10" s="3"/>
    </row>
    <row r="11" spans="1:14" ht="26.4">
      <c r="A11" s="11">
        <f t="shared" si="0"/>
        <v>6</v>
      </c>
      <c r="B11" s="58"/>
      <c r="C11" s="57" t="s">
        <v>24</v>
      </c>
      <c r="D11" s="57" t="s">
        <v>166</v>
      </c>
      <c r="E11" s="51" t="s">
        <v>56</v>
      </c>
      <c r="F11" s="3" t="s">
        <v>160</v>
      </c>
      <c r="G11" s="4" t="s">
        <v>61</v>
      </c>
      <c r="H11" s="7"/>
      <c r="I11" s="6"/>
      <c r="J11" s="5"/>
      <c r="K11" s="5"/>
      <c r="L11" s="9"/>
      <c r="M11" s="8"/>
      <c r="N11" s="8"/>
    </row>
    <row r="12" spans="1:14" ht="26.4">
      <c r="A12" s="11">
        <f t="shared" si="0"/>
        <v>7</v>
      </c>
      <c r="B12" s="58"/>
      <c r="C12" s="58"/>
      <c r="D12" s="58"/>
      <c r="E12" s="53"/>
      <c r="F12" s="3" t="s">
        <v>161</v>
      </c>
      <c r="G12" s="4" t="s">
        <v>61</v>
      </c>
      <c r="H12" s="7"/>
      <c r="I12" s="6"/>
      <c r="J12" s="5"/>
      <c r="K12" s="5"/>
      <c r="L12" s="6"/>
      <c r="M12" s="5"/>
      <c r="N12" s="5"/>
    </row>
    <row r="13" spans="1:14" ht="26.4">
      <c r="A13" s="11">
        <f t="shared" si="0"/>
        <v>8</v>
      </c>
      <c r="B13" s="58"/>
      <c r="C13" s="58"/>
      <c r="D13" s="58"/>
      <c r="E13" s="53"/>
      <c r="F13" s="3" t="s">
        <v>162</v>
      </c>
      <c r="G13" s="4" t="s">
        <v>61</v>
      </c>
      <c r="H13" s="7"/>
      <c r="I13" s="6"/>
      <c r="J13" s="5"/>
      <c r="K13" s="5"/>
      <c r="L13" s="6"/>
      <c r="M13" s="5"/>
      <c r="N13" s="5"/>
    </row>
    <row r="14" spans="1:14" ht="39.6">
      <c r="A14" s="11">
        <f t="shared" si="0"/>
        <v>9</v>
      </c>
      <c r="B14" s="58"/>
      <c r="C14" s="58"/>
      <c r="D14" s="58"/>
      <c r="E14" s="53"/>
      <c r="F14" s="3" t="s">
        <v>163</v>
      </c>
      <c r="G14" s="4" t="s">
        <v>62</v>
      </c>
      <c r="H14" s="7"/>
      <c r="I14" s="6"/>
      <c r="J14" s="5"/>
      <c r="K14" s="5"/>
      <c r="L14" s="6"/>
      <c r="M14" s="5"/>
      <c r="N14" s="5"/>
    </row>
    <row r="15" spans="1:14" ht="26.4">
      <c r="A15" s="11">
        <f t="shared" si="0"/>
        <v>10</v>
      </c>
      <c r="B15" s="58"/>
      <c r="C15" s="58"/>
      <c r="D15" s="59"/>
      <c r="E15" s="52"/>
      <c r="F15" s="3" t="s">
        <v>164</v>
      </c>
      <c r="G15" s="4" t="s">
        <v>165</v>
      </c>
      <c r="H15" s="7"/>
      <c r="I15" s="6"/>
      <c r="J15" s="5"/>
      <c r="K15" s="5"/>
      <c r="L15" s="3"/>
      <c r="M15" s="3"/>
      <c r="N15" s="3"/>
    </row>
    <row r="16" spans="1:14" ht="39.6">
      <c r="A16" s="11">
        <f t="shared" si="0"/>
        <v>11</v>
      </c>
      <c r="B16" s="58"/>
      <c r="C16" s="58"/>
      <c r="D16" s="28" t="s">
        <v>24</v>
      </c>
      <c r="E16" s="25" t="s">
        <v>109</v>
      </c>
      <c r="F16" s="25" t="s">
        <v>170</v>
      </c>
      <c r="G16" s="4" t="s">
        <v>110</v>
      </c>
      <c r="H16" s="7"/>
      <c r="I16" s="6"/>
      <c r="J16" s="5"/>
      <c r="K16" s="5"/>
      <c r="L16" s="3"/>
      <c r="M16" s="3"/>
      <c r="N16" s="3"/>
    </row>
    <row r="17" spans="1:14" ht="57.6" customHeight="1">
      <c r="A17" s="11">
        <f t="shared" si="0"/>
        <v>12</v>
      </c>
      <c r="B17" s="58"/>
      <c r="C17" s="51" t="s">
        <v>68</v>
      </c>
      <c r="D17" s="54" t="s">
        <v>69</v>
      </c>
      <c r="E17" s="25" t="s">
        <v>56</v>
      </c>
      <c r="F17" s="3" t="s">
        <v>171</v>
      </c>
      <c r="G17" s="4" t="s">
        <v>169</v>
      </c>
      <c r="H17" s="3"/>
      <c r="I17" s="6"/>
      <c r="J17" s="5"/>
      <c r="K17" s="5"/>
      <c r="L17" s="3"/>
      <c r="M17" s="3"/>
      <c r="N17" s="3"/>
    </row>
    <row r="18" spans="1:14" ht="43.2" customHeight="1">
      <c r="A18" s="11">
        <f t="shared" si="0"/>
        <v>13</v>
      </c>
      <c r="B18" s="58"/>
      <c r="C18" s="53"/>
      <c r="D18" s="55"/>
      <c r="E18" s="3" t="s">
        <v>109</v>
      </c>
      <c r="F18" s="25" t="s">
        <v>170</v>
      </c>
      <c r="G18" s="4" t="s">
        <v>172</v>
      </c>
      <c r="H18" s="3"/>
      <c r="I18" s="6"/>
      <c r="J18" s="5"/>
      <c r="K18" s="5"/>
      <c r="L18" s="3"/>
      <c r="M18" s="3"/>
      <c r="N18" s="3"/>
    </row>
    <row r="19" spans="1:14" ht="32.4" customHeight="1">
      <c r="A19" s="11">
        <f t="shared" si="0"/>
        <v>14</v>
      </c>
      <c r="B19" s="58"/>
      <c r="C19" s="51" t="s">
        <v>71</v>
      </c>
      <c r="D19" s="54" t="s">
        <v>72</v>
      </c>
      <c r="E19" s="3" t="s">
        <v>107</v>
      </c>
      <c r="F19" s="51" t="s">
        <v>174</v>
      </c>
      <c r="G19" s="4" t="s">
        <v>123</v>
      </c>
      <c r="H19" s="3"/>
      <c r="I19" s="6"/>
      <c r="J19" s="5"/>
      <c r="K19" s="5"/>
      <c r="L19" s="3"/>
      <c r="M19" s="3"/>
      <c r="N19" s="3"/>
    </row>
    <row r="20" spans="1:14" ht="45" customHeight="1">
      <c r="A20" s="11">
        <f t="shared" si="0"/>
        <v>15</v>
      </c>
      <c r="B20" s="58"/>
      <c r="C20" s="52"/>
      <c r="D20" s="56"/>
      <c r="E20" s="25" t="s">
        <v>126</v>
      </c>
      <c r="F20" s="52"/>
      <c r="G20" s="4" t="s">
        <v>173</v>
      </c>
      <c r="H20" s="3"/>
      <c r="I20" s="6"/>
      <c r="J20" s="5"/>
      <c r="K20" s="5"/>
      <c r="L20" s="3"/>
      <c r="M20" s="3"/>
      <c r="N20" s="3"/>
    </row>
    <row r="21" spans="1:14" ht="29.4" customHeight="1">
      <c r="A21" s="11">
        <f t="shared" si="0"/>
        <v>16</v>
      </c>
      <c r="B21" s="59"/>
      <c r="C21" s="26" t="s">
        <v>17</v>
      </c>
      <c r="D21" s="26" t="s">
        <v>73</v>
      </c>
      <c r="E21" s="26" t="s">
        <v>74</v>
      </c>
      <c r="F21" s="3" t="s">
        <v>175</v>
      </c>
      <c r="G21" s="4" t="s">
        <v>176</v>
      </c>
      <c r="H21" s="3"/>
      <c r="I21" s="6"/>
      <c r="J21" s="5"/>
      <c r="K21" s="5"/>
      <c r="L21" s="3"/>
      <c r="M21" s="3"/>
      <c r="N21" s="3"/>
    </row>
    <row r="24" spans="1:14" ht="24" customHeight="1"/>
    <row r="25" spans="1:14" ht="24" customHeight="1"/>
    <row r="26" spans="1:14" ht="24" customHeight="1"/>
    <row r="27" spans="1:14" ht="24" customHeight="1"/>
    <row r="28" spans="1:14" ht="24" customHeight="1"/>
    <row r="29" spans="1:14" ht="24" customHeight="1"/>
    <row r="30" spans="1:14" ht="24" customHeight="1"/>
    <row r="31" spans="1:14" ht="24" customHeight="1"/>
    <row r="32" spans="1:14" s="2" customFormat="1" ht="24" customHeight="1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2:14" s="2" customFormat="1" ht="24" customHeigh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</sheetData>
  <mergeCells count="14">
    <mergeCell ref="F19:F20"/>
    <mergeCell ref="I4:N4"/>
    <mergeCell ref="B6:B21"/>
    <mergeCell ref="C7:C10"/>
    <mergeCell ref="D7:D8"/>
    <mergeCell ref="F7:F10"/>
    <mergeCell ref="D9:D10"/>
    <mergeCell ref="C11:C16"/>
    <mergeCell ref="E11:E15"/>
    <mergeCell ref="D11:D15"/>
    <mergeCell ref="C17:C18"/>
    <mergeCell ref="D17:D18"/>
    <mergeCell ref="C19:C20"/>
    <mergeCell ref="D19:D20"/>
  </mergeCells>
  <phoneticPr fontId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B4667-FDC7-4283-A172-E2FAD422CE86}">
  <dimension ref="B3:B12"/>
  <sheetViews>
    <sheetView workbookViewId="0"/>
    <sheetView workbookViewId="1">
      <selection activeCell="B10" sqref="B10"/>
    </sheetView>
  </sheetViews>
  <sheetFormatPr defaultRowHeight="18"/>
  <sheetData>
    <row r="3" spans="2:2">
      <c r="B3" s="46" t="s">
        <v>132</v>
      </c>
    </row>
    <row r="4" spans="2:2">
      <c r="B4" s="46" t="s">
        <v>138</v>
      </c>
    </row>
    <row r="5" spans="2:2">
      <c r="B5" s="46" t="s">
        <v>137</v>
      </c>
    </row>
    <row r="6" spans="2:2">
      <c r="B6" s="46" t="s">
        <v>131</v>
      </c>
    </row>
    <row r="7" spans="2:2">
      <c r="B7" s="46"/>
    </row>
    <row r="8" spans="2:2">
      <c r="B8" s="46" t="s">
        <v>133</v>
      </c>
    </row>
    <row r="9" spans="2:2">
      <c r="B9" s="46" t="s">
        <v>177</v>
      </c>
    </row>
    <row r="10" spans="2:2">
      <c r="B10" s="46" t="s">
        <v>179</v>
      </c>
    </row>
    <row r="11" spans="2:2">
      <c r="B11" s="46" t="s">
        <v>131</v>
      </c>
    </row>
    <row r="12" spans="2:2">
      <c r="B12" s="46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デバイス一覧画面</vt:lpstr>
      <vt:lpstr>デバイス一覧画面sato</vt:lpstr>
      <vt:lpstr>デバイス詳細画面</vt:lpstr>
      <vt:lpstr>デバイス詳細画面 sato</vt:lpstr>
      <vt:lpstr>initialdata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小松 航</dc:creator>
  <cp:keywords/>
  <dc:description/>
  <cp:lastModifiedBy>andex 我妻</cp:lastModifiedBy>
  <cp:revision/>
  <dcterms:created xsi:type="dcterms:W3CDTF">2019-11-12T07:15:53Z</dcterms:created>
  <dcterms:modified xsi:type="dcterms:W3CDTF">2025-10-03T07:24:56Z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77fbfb40-12aa-42f0-9780-f82bc14cd50e</vt:lpwstr>
  </property>
</Properties>
</file>